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zarazzap/Desktop/R/"/>
    </mc:Choice>
  </mc:AlternateContent>
  <xr:revisionPtr revIDLastSave="0" documentId="13_ncr:1_{44F8110F-B965-AF46-B3BB-0F42DEBFB178}" xr6:coauthVersionLast="47" xr6:coauthVersionMax="47" xr10:uidLastSave="{00000000-0000-0000-0000-000000000000}"/>
  <bookViews>
    <workbookView xWindow="140" yWindow="680" windowWidth="14280" windowHeight="17660" xr2:uid="{D49F9A48-A321-614F-BD2C-D3B86DD7B535}"/>
  </bookViews>
  <sheets>
    <sheet name="Data" sheetId="2" r:id="rId1"/>
    <sheet name="Task2" sheetId="1" r:id="rId2"/>
    <sheet name="Task 3" sheetId="5" r:id="rId3"/>
    <sheet name="Task 4" sheetId="6" r:id="rId4"/>
  </sheets>
  <externalReferences>
    <externalReference r:id="rId5"/>
  </externalReferences>
  <calcPr calcId="191029"/>
  <pivotCaches>
    <pivotCache cacheId="6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6" i="6" l="1"/>
  <c r="B24" i="6"/>
  <c r="B21" i="6"/>
  <c r="C21" i="6"/>
  <c r="C20" i="6"/>
  <c r="B20" i="6"/>
  <c r="C8" i="6"/>
  <c r="B8" i="6"/>
  <c r="C7" i="6"/>
  <c r="B7" i="6"/>
  <c r="B9" i="6" s="1"/>
  <c r="B25" i="5"/>
  <c r="C20" i="5"/>
  <c r="D20" i="5" s="1"/>
  <c r="B20" i="5"/>
  <c r="C19" i="5"/>
  <c r="B19" i="5"/>
  <c r="B13" i="5"/>
  <c r="B12" i="5"/>
  <c r="C7" i="5"/>
  <c r="D7" i="5" s="1"/>
  <c r="B7" i="5"/>
  <c r="C6" i="5"/>
  <c r="D6" i="5" s="1"/>
  <c r="B6" i="5"/>
  <c r="I6" i="1"/>
  <c r="I5" i="1"/>
  <c r="I7" i="1" s="1"/>
  <c r="H6" i="1"/>
  <c r="J6" i="1" s="1"/>
  <c r="H5" i="1"/>
  <c r="J5" i="1" s="1"/>
  <c r="B29" i="1"/>
  <c r="C29" i="1"/>
  <c r="C28" i="1"/>
  <c r="B28" i="1"/>
  <c r="D28" i="1" s="1"/>
  <c r="B16" i="1"/>
  <c r="C16" i="1"/>
  <c r="C15" i="1"/>
  <c r="B15" i="1"/>
  <c r="D15" i="1" s="1"/>
  <c r="E15" i="1" s="1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" i="2"/>
  <c r="E23" i="1"/>
  <c r="E22" i="1"/>
  <c r="E8" i="1"/>
  <c r="E7" i="1"/>
  <c r="E10" i="1"/>
  <c r="C10" i="1"/>
  <c r="D29" i="1" l="1"/>
  <c r="E29" i="1"/>
  <c r="B34" i="1"/>
  <c r="J7" i="1"/>
  <c r="N5" i="1" s="1"/>
  <c r="E28" i="1"/>
  <c r="H7" i="1"/>
  <c r="D16" i="1"/>
  <c r="E16" i="1" s="1"/>
  <c r="C9" i="6"/>
  <c r="B27" i="6"/>
  <c r="D8" i="6"/>
  <c r="C12" i="6" s="1"/>
  <c r="D7" i="6"/>
  <c r="C11" i="6"/>
  <c r="D19" i="5"/>
  <c r="B24" i="5" s="1"/>
  <c r="B22" i="5"/>
  <c r="B11" i="5"/>
  <c r="B9" i="5"/>
  <c r="B10" i="5"/>
  <c r="M5" i="1" l="1"/>
  <c r="N6" i="1"/>
  <c r="M6" i="1"/>
  <c r="L7" i="1" s="1"/>
  <c r="B33" i="1"/>
  <c r="D9" i="6"/>
  <c r="B16" i="6"/>
  <c r="B23" i="5"/>
  <c r="B26" i="5" s="1"/>
</calcChain>
</file>

<file path=xl/sharedStrings.xml><?xml version="1.0" encoding="utf-8"?>
<sst xmlns="http://schemas.openxmlformats.org/spreadsheetml/2006/main" count="508" uniqueCount="279">
  <si>
    <t>ID</t>
  </si>
  <si>
    <t>Sector</t>
  </si>
  <si>
    <t>Waste</t>
  </si>
  <si>
    <t>Waste_red</t>
  </si>
  <si>
    <t>Recycle</t>
  </si>
  <si>
    <t>Green_In</t>
  </si>
  <si>
    <t>Empl</t>
  </si>
  <si>
    <t>CAPEX</t>
  </si>
  <si>
    <t>Sust_Inv</t>
  </si>
  <si>
    <t>OPEX</t>
  </si>
  <si>
    <t>Man1</t>
  </si>
  <si>
    <t>Manuf</t>
  </si>
  <si>
    <t>Man2</t>
  </si>
  <si>
    <t>Man3</t>
  </si>
  <si>
    <t>Man4</t>
  </si>
  <si>
    <t>Man5</t>
  </si>
  <si>
    <t>Man6</t>
  </si>
  <si>
    <t>Man7</t>
  </si>
  <si>
    <t>Man8</t>
  </si>
  <si>
    <t>Man9</t>
  </si>
  <si>
    <t>Man10</t>
  </si>
  <si>
    <t>Man11</t>
  </si>
  <si>
    <t>Man12</t>
  </si>
  <si>
    <t>Man13</t>
  </si>
  <si>
    <t>Man14</t>
  </si>
  <si>
    <t>Man15</t>
  </si>
  <si>
    <t>Man16</t>
  </si>
  <si>
    <t>Man17</t>
  </si>
  <si>
    <t>Man18</t>
  </si>
  <si>
    <t>Man19</t>
  </si>
  <si>
    <t>Man20</t>
  </si>
  <si>
    <t>Man21</t>
  </si>
  <si>
    <t>Man22</t>
  </si>
  <si>
    <t>Man23</t>
  </si>
  <si>
    <t>Man24</t>
  </si>
  <si>
    <t>Man25</t>
  </si>
  <si>
    <t>Man26</t>
  </si>
  <si>
    <t>Man27</t>
  </si>
  <si>
    <t>Man28</t>
  </si>
  <si>
    <t>Man29</t>
  </si>
  <si>
    <t>Man30</t>
  </si>
  <si>
    <t>Man31</t>
  </si>
  <si>
    <t>Man32</t>
  </si>
  <si>
    <t>Man33</t>
  </si>
  <si>
    <t>Man34</t>
  </si>
  <si>
    <t>Man35</t>
  </si>
  <si>
    <t>Man36</t>
  </si>
  <si>
    <t>Man37</t>
  </si>
  <si>
    <t>Man38</t>
  </si>
  <si>
    <t>Man39</t>
  </si>
  <si>
    <t>Man40</t>
  </si>
  <si>
    <t>Man41</t>
  </si>
  <si>
    <t>Man42</t>
  </si>
  <si>
    <t>Man43</t>
  </si>
  <si>
    <t>Man44</t>
  </si>
  <si>
    <t>Man45</t>
  </si>
  <si>
    <t>Man46</t>
  </si>
  <si>
    <t>Man47</t>
  </si>
  <si>
    <t>Man48</t>
  </si>
  <si>
    <t>Man49</t>
  </si>
  <si>
    <t>Man50</t>
  </si>
  <si>
    <t>Man51</t>
  </si>
  <si>
    <t>Man52</t>
  </si>
  <si>
    <t>Man53</t>
  </si>
  <si>
    <t>Man54</t>
  </si>
  <si>
    <t>Man55</t>
  </si>
  <si>
    <t>Man56</t>
  </si>
  <si>
    <t>Man57</t>
  </si>
  <si>
    <t>Man58</t>
  </si>
  <si>
    <t>Man59</t>
  </si>
  <si>
    <t>Man60</t>
  </si>
  <si>
    <t>Tr1</t>
  </si>
  <si>
    <t>Transp</t>
  </si>
  <si>
    <t>Tr2</t>
  </si>
  <si>
    <t>Tr3</t>
  </si>
  <si>
    <t>Tr4</t>
  </si>
  <si>
    <t>Tr5</t>
  </si>
  <si>
    <t>Tr6</t>
  </si>
  <si>
    <t>Tr7</t>
  </si>
  <si>
    <t>Tr8</t>
  </si>
  <si>
    <t>Tr9</t>
  </si>
  <si>
    <t>Tr10</t>
  </si>
  <si>
    <t>Tr11</t>
  </si>
  <si>
    <t>Tr12</t>
  </si>
  <si>
    <t>Tr13</t>
  </si>
  <si>
    <t>Tr14</t>
  </si>
  <si>
    <t>Tr15</t>
  </si>
  <si>
    <t>Tr16</t>
  </si>
  <si>
    <t>Tr17</t>
  </si>
  <si>
    <t>Tr18</t>
  </si>
  <si>
    <t>Tr19</t>
  </si>
  <si>
    <t>Tr20</t>
  </si>
  <si>
    <t>Tr21</t>
  </si>
  <si>
    <t>Tr22</t>
  </si>
  <si>
    <t>Tr23</t>
  </si>
  <si>
    <t>Tr24</t>
  </si>
  <si>
    <t>Tr25</t>
  </si>
  <si>
    <t>Tr26</t>
  </si>
  <si>
    <t>Tr27</t>
  </si>
  <si>
    <t>Tr28</t>
  </si>
  <si>
    <t>Tr29</t>
  </si>
  <si>
    <t>Tr30</t>
  </si>
  <si>
    <t>Tr31</t>
  </si>
  <si>
    <t>Tr32</t>
  </si>
  <si>
    <t>Tr33</t>
  </si>
  <si>
    <t>Tr34</t>
  </si>
  <si>
    <t>Tr35</t>
  </si>
  <si>
    <t>Tr36</t>
  </si>
  <si>
    <t>Tr37</t>
  </si>
  <si>
    <t>Tr38</t>
  </si>
  <si>
    <t>Tr39</t>
  </si>
  <si>
    <t>Tr40</t>
  </si>
  <si>
    <t>Tr41</t>
  </si>
  <si>
    <t>Tr42</t>
  </si>
  <si>
    <t>Tr43</t>
  </si>
  <si>
    <t>Tr44</t>
  </si>
  <si>
    <t>Tr45</t>
  </si>
  <si>
    <t>Tr46</t>
  </si>
  <si>
    <t>Tr47</t>
  </si>
  <si>
    <t>Tr48</t>
  </si>
  <si>
    <t>Tr49</t>
  </si>
  <si>
    <t>Tr50</t>
  </si>
  <si>
    <t>Tr51</t>
  </si>
  <si>
    <t>Tr52</t>
  </si>
  <si>
    <t>Tr53</t>
  </si>
  <si>
    <t>Tr54</t>
  </si>
  <si>
    <t>Tr55</t>
  </si>
  <si>
    <t>Tr56</t>
  </si>
  <si>
    <t>Tr57</t>
  </si>
  <si>
    <t>Tr58</t>
  </si>
  <si>
    <t>Tr59</t>
  </si>
  <si>
    <t>Tr60</t>
  </si>
  <si>
    <t>Tr61</t>
  </si>
  <si>
    <t>Tr62</t>
  </si>
  <si>
    <t>Tr63</t>
  </si>
  <si>
    <t>Tr64</t>
  </si>
  <si>
    <t>Tr65</t>
  </si>
  <si>
    <t>Tr66</t>
  </si>
  <si>
    <t>Tr67</t>
  </si>
  <si>
    <t>Tr68</t>
  </si>
  <si>
    <t>Tr69</t>
  </si>
  <si>
    <t>Tr70</t>
  </si>
  <si>
    <t>Tr71</t>
  </si>
  <si>
    <t>Tr72</t>
  </si>
  <si>
    <t>Tr73</t>
  </si>
  <si>
    <t>Tr74</t>
  </si>
  <si>
    <t>Tr75</t>
  </si>
  <si>
    <t>Tr76</t>
  </si>
  <si>
    <t>Tr77</t>
  </si>
  <si>
    <t>Tr78</t>
  </si>
  <si>
    <t>Tr79</t>
  </si>
  <si>
    <t>Tr80</t>
  </si>
  <si>
    <t>Tr81</t>
  </si>
  <si>
    <t>Tr82</t>
  </si>
  <si>
    <t>Tr83</t>
  </si>
  <si>
    <t>Tr84</t>
  </si>
  <si>
    <t>Con1</t>
  </si>
  <si>
    <t>Constr</t>
  </si>
  <si>
    <t>Con2</t>
  </si>
  <si>
    <t>Con3</t>
  </si>
  <si>
    <t>Con4</t>
  </si>
  <si>
    <t>Con5</t>
  </si>
  <si>
    <t>Con6</t>
  </si>
  <si>
    <t>Con7</t>
  </si>
  <si>
    <t>Con8</t>
  </si>
  <si>
    <t>Con9</t>
  </si>
  <si>
    <t>Con10</t>
  </si>
  <si>
    <t>Con11</t>
  </si>
  <si>
    <t>Con12</t>
  </si>
  <si>
    <t>Con13</t>
  </si>
  <si>
    <t>Con14</t>
  </si>
  <si>
    <t>Con15</t>
  </si>
  <si>
    <t>Con16</t>
  </si>
  <si>
    <t>Con17</t>
  </si>
  <si>
    <t>Con18</t>
  </si>
  <si>
    <t>Con19</t>
  </si>
  <si>
    <t>Con20</t>
  </si>
  <si>
    <t>Con21</t>
  </si>
  <si>
    <t>Con22</t>
  </si>
  <si>
    <t>Con23</t>
  </si>
  <si>
    <t>Con24</t>
  </si>
  <si>
    <t>Con25</t>
  </si>
  <si>
    <t>Con26</t>
  </si>
  <si>
    <t>Con27</t>
  </si>
  <si>
    <t>Con28</t>
  </si>
  <si>
    <t>Con29</t>
  </si>
  <si>
    <t>Con30</t>
  </si>
  <si>
    <t>Con31</t>
  </si>
  <si>
    <t>Con32</t>
  </si>
  <si>
    <t>Con33</t>
  </si>
  <si>
    <t>Con34</t>
  </si>
  <si>
    <t>Con35</t>
  </si>
  <si>
    <t>Con36</t>
  </si>
  <si>
    <t>Con37</t>
  </si>
  <si>
    <t>Con38</t>
  </si>
  <si>
    <t>Con39</t>
  </si>
  <si>
    <t>Con40</t>
  </si>
  <si>
    <t>Con41</t>
  </si>
  <si>
    <t>Con42</t>
  </si>
  <si>
    <t>Con43</t>
  </si>
  <si>
    <t>Con44</t>
  </si>
  <si>
    <t>Con45</t>
  </si>
  <si>
    <t>Con46</t>
  </si>
  <si>
    <t>Con47</t>
  </si>
  <si>
    <t>Con48</t>
  </si>
  <si>
    <t>Con49</t>
  </si>
  <si>
    <t>Con50</t>
  </si>
  <si>
    <t>Con51</t>
  </si>
  <si>
    <t>Con52</t>
  </si>
  <si>
    <t>Con53</t>
  </si>
  <si>
    <t>Con54</t>
  </si>
  <si>
    <t>Con55</t>
  </si>
  <si>
    <t>Con56</t>
  </si>
  <si>
    <t>Task 2</t>
  </si>
  <si>
    <t>recycle_rate</t>
  </si>
  <si>
    <t>high performer</t>
  </si>
  <si>
    <t>If recycling rate &gt;50% –&gt; high-performer</t>
  </si>
  <si>
    <t>Grand Total</t>
  </si>
  <si>
    <t>high_perf</t>
  </si>
  <si>
    <t>count_WR0</t>
  </si>
  <si>
    <t>count_WR1</t>
  </si>
  <si>
    <t>total</t>
  </si>
  <si>
    <t>participation_rate</t>
  </si>
  <si>
    <t>High-performer</t>
  </si>
  <si>
    <t>Yes/No</t>
  </si>
  <si>
    <t>High-performers</t>
  </si>
  <si>
    <t># WR0 – did not participate in initiative</t>
  </si>
  <si>
    <t># WR1 – did participate</t>
  </si>
  <si>
    <t>1. Waste reduction initiative</t>
  </si>
  <si>
    <t>2. Green certification scheme</t>
  </si>
  <si>
    <t>Participates (Yes/No)</t>
  </si>
  <si>
    <t>count_G0</t>
  </si>
  <si>
    <t>count_G1</t>
  </si>
  <si>
    <t># G0 – did not participate in initiative</t>
  </si>
  <si>
    <t># G1 – did participate</t>
  </si>
  <si>
    <t>P(Green_In = 1|high_perf = 1)</t>
  </si>
  <si>
    <t>P(Waste_red = 1|high_perf = 1)</t>
  </si>
  <si>
    <t>Observed_WR</t>
  </si>
  <si>
    <t>WR=0</t>
  </si>
  <si>
    <t>WR=1</t>
  </si>
  <si>
    <t>Total high performers:</t>
  </si>
  <si>
    <t>out of</t>
  </si>
  <si>
    <t>high-per=1</t>
  </si>
  <si>
    <t>high-per=0</t>
  </si>
  <si>
    <t>Total</t>
  </si>
  <si>
    <t>Expected_WR</t>
  </si>
  <si>
    <t>Chi-square p-value</t>
  </si>
  <si>
    <t>Task 3</t>
  </si>
  <si>
    <t>1. Waste refuction initiative</t>
  </si>
  <si>
    <t>Group</t>
  </si>
  <si>
    <t>N</t>
  </si>
  <si>
    <t>Mean OPEX</t>
  </si>
  <si>
    <t>Std Dev</t>
  </si>
  <si>
    <t>Participants (=1)</t>
  </si>
  <si>
    <t>Non-Participants (=0)</t>
  </si>
  <si>
    <t>Mean Difference (Participants - Non)</t>
  </si>
  <si>
    <t>t-statistic</t>
  </si>
  <si>
    <t>df (Welch)</t>
  </si>
  <si>
    <t>p-value (two-tailed)</t>
  </si>
  <si>
    <t>Significant (p&lt;0.05)?</t>
  </si>
  <si>
    <t>Task 4</t>
  </si>
  <si>
    <t>recycling rate &gt;50% (high-performers)</t>
  </si>
  <si>
    <t>High Perf (=1)</t>
  </si>
  <si>
    <t>Low Perf (=0)</t>
  </si>
  <si>
    <t>Manufacturing</t>
  </si>
  <si>
    <t>Transportation</t>
  </si>
  <si>
    <t>Share of High Performers:</t>
  </si>
  <si>
    <t>Chi-Square Test (2x2 Contingency):</t>
  </si>
  <si>
    <t>Total N</t>
  </si>
  <si>
    <t>Chi-Square Statistic</t>
  </si>
  <si>
    <t>Degrees of Freedom</t>
  </si>
  <si>
    <t>1</t>
  </si>
  <si>
    <t>p-value</t>
  </si>
  <si>
    <t>Significance (p&lt;0.05)</t>
  </si>
  <si>
    <t>High</t>
  </si>
  <si>
    <t>Low</t>
  </si>
  <si>
    <t>Expected frequencies</t>
  </si>
  <si>
    <t>Participation rate</t>
  </si>
  <si>
    <t>Candidate Number: TBDH9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</si>
</sst>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7" formatCode="0.0000"/>
    <numFmt numFmtId="168" formatCode="0.0%"/>
    <numFmt numFmtId="175" formatCode="0.0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2" borderId="0" applyNumberFormat="0" applyBorder="0" applyAlignment="0" applyProtection="0"/>
  </cellStyleXfs>
  <cellXfs count="25">
    <xf numFmtId="0" fontId="0" fillId="0" borderId="0" xfId="0"/>
    <xf numFmtId="0" fontId="2" fillId="0" borderId="0" xfId="0" applyFont="1"/>
    <xf numFmtId="167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Border="1"/>
    <xf numFmtId="0" fontId="0" fillId="0" borderId="2" xfId="0" applyBorder="1"/>
    <xf numFmtId="0" fontId="0" fillId="0" borderId="1" xfId="0" applyBorder="1"/>
    <xf numFmtId="0" fontId="0" fillId="0" borderId="1" xfId="0" applyBorder="1" applyAlignment="1">
      <alignment wrapText="1"/>
    </xf>
    <xf numFmtId="168" fontId="0" fillId="0" borderId="1" xfId="1" applyNumberFormat="1" applyFont="1" applyBorder="1"/>
    <xf numFmtId="0" fontId="0" fillId="0" borderId="0" xfId="0" applyAlignment="1">
      <alignment wrapText="1"/>
    </xf>
    <xf numFmtId="167" fontId="0" fillId="0" borderId="1" xfId="0" applyNumberFormat="1" applyBorder="1"/>
    <xf numFmtId="0" fontId="2" fillId="0" borderId="0" xfId="0" applyFont="1" applyAlignment="1">
      <alignment wrapText="1"/>
    </xf>
    <xf numFmtId="2" fontId="0" fillId="0" borderId="1" xfId="0" applyNumberFormat="1" applyBorder="1"/>
    <xf numFmtId="175" fontId="0" fillId="0" borderId="1" xfId="0" applyNumberFormat="1" applyBorder="1"/>
    <xf numFmtId="168" fontId="0" fillId="0" borderId="1" xfId="0" applyNumberFormat="1" applyBorder="1"/>
    <xf numFmtId="0" fontId="0" fillId="0" borderId="0" xfId="0" applyBorder="1" applyAlignment="1">
      <alignment wrapText="1"/>
    </xf>
    <xf numFmtId="2" fontId="0" fillId="0" borderId="0" xfId="0" applyNumberFormat="1" applyBorder="1"/>
    <xf numFmtId="0" fontId="0" fillId="0" borderId="2" xfId="0" applyBorder="1" applyAlignment="1">
      <alignment horizontal="center" wrapText="1"/>
    </xf>
    <xf numFmtId="168" fontId="0" fillId="0" borderId="0" xfId="1" applyNumberFormat="1" applyFont="1" applyBorder="1"/>
    <xf numFmtId="0" fontId="2" fillId="2" borderId="2" xfId="2" applyFont="1" applyBorder="1" applyAlignment="1">
      <alignment horizontal="center" wrapText="1"/>
    </xf>
    <xf numFmtId="168" fontId="0" fillId="0" borderId="2" xfId="1" applyNumberFormat="1" applyFont="1" applyBorder="1"/>
    <xf numFmtId="0" fontId="1" fillId="2" borderId="2" xfId="2" applyBorder="1"/>
    <xf numFmtId="0" fontId="3" fillId="0" borderId="0" xfId="0" applyFont="1" applyAlignment="1">
      <alignment horizontal="justify" vertical="center"/>
    </xf>
  </cellXfs>
  <cellStyles count="3">
    <cellStyle name="20% - Accent1" xfId="2" builtinId="30"/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zarazzap/Downloads/Waste-reduction_data_COMPLETE-2.xlsx" TargetMode="External"/><Relationship Id="rId1" Type="http://schemas.openxmlformats.org/officeDocument/2006/relationships/externalLinkPath" Target="/Users/zarazzap/Downloads/Waste-reduction_data_COMPLETE-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Q2"/>
      <sheetName val="Q3"/>
      <sheetName val="Q4"/>
    </sheetNames>
    <sheetDataSet>
      <sheetData sheetId="0">
        <row r="1">
          <cell r="B1" t="str">
            <v>Sector</v>
          </cell>
          <cell r="D1" t="str">
            <v>Waste_red</v>
          </cell>
          <cell r="F1" t="str">
            <v>Green_In</v>
          </cell>
          <cell r="J1" t="str">
            <v>OPEX</v>
          </cell>
          <cell r="L1" t="str">
            <v>high_perf</v>
          </cell>
        </row>
        <row r="2">
          <cell r="B2" t="str">
            <v>Manuf</v>
          </cell>
          <cell r="D2">
            <v>0</v>
          </cell>
          <cell r="F2">
            <v>1</v>
          </cell>
          <cell r="J2">
            <v>18.45</v>
          </cell>
          <cell r="L2">
            <v>1</v>
          </cell>
        </row>
        <row r="3">
          <cell r="B3" t="str">
            <v>Manuf</v>
          </cell>
          <cell r="D3">
            <v>1</v>
          </cell>
          <cell r="F3">
            <v>1</v>
          </cell>
          <cell r="J3">
            <v>41.28</v>
          </cell>
          <cell r="L3">
            <v>1</v>
          </cell>
        </row>
        <row r="4">
          <cell r="B4" t="str">
            <v>Manuf</v>
          </cell>
          <cell r="D4">
            <v>0</v>
          </cell>
          <cell r="F4">
            <v>0</v>
          </cell>
          <cell r="J4">
            <v>48.06</v>
          </cell>
          <cell r="L4">
            <v>0</v>
          </cell>
        </row>
        <row r="5">
          <cell r="B5" t="str">
            <v>Manuf</v>
          </cell>
          <cell r="D5">
            <v>1</v>
          </cell>
          <cell r="F5">
            <v>1</v>
          </cell>
          <cell r="J5">
            <v>29.63</v>
          </cell>
          <cell r="L5">
            <v>1</v>
          </cell>
        </row>
        <row r="6">
          <cell r="B6" t="str">
            <v>Manuf</v>
          </cell>
          <cell r="D6">
            <v>0</v>
          </cell>
          <cell r="F6">
            <v>1</v>
          </cell>
          <cell r="J6">
            <v>23.19</v>
          </cell>
          <cell r="L6">
            <v>0</v>
          </cell>
        </row>
        <row r="7">
          <cell r="B7" t="str">
            <v>Manuf</v>
          </cell>
          <cell r="D7">
            <v>1</v>
          </cell>
          <cell r="F7">
            <v>1</v>
          </cell>
          <cell r="J7">
            <v>13.6</v>
          </cell>
          <cell r="L7">
            <v>1</v>
          </cell>
        </row>
        <row r="8">
          <cell r="B8" t="str">
            <v>Manuf</v>
          </cell>
          <cell r="D8">
            <v>1</v>
          </cell>
          <cell r="F8">
            <v>1</v>
          </cell>
          <cell r="J8">
            <v>6.4</v>
          </cell>
          <cell r="L8">
            <v>1</v>
          </cell>
        </row>
        <row r="9">
          <cell r="B9" t="str">
            <v>Manuf</v>
          </cell>
          <cell r="D9">
            <v>0</v>
          </cell>
          <cell r="F9">
            <v>1</v>
          </cell>
          <cell r="J9">
            <v>27.52</v>
          </cell>
          <cell r="L9">
            <v>1</v>
          </cell>
        </row>
        <row r="10">
          <cell r="B10" t="str">
            <v>Manuf</v>
          </cell>
          <cell r="D10">
            <v>0</v>
          </cell>
          <cell r="F10">
            <v>1</v>
          </cell>
          <cell r="J10">
            <v>4.45</v>
          </cell>
          <cell r="L10">
            <v>0</v>
          </cell>
        </row>
        <row r="11">
          <cell r="B11" t="str">
            <v>Manuf</v>
          </cell>
          <cell r="D11">
            <v>0</v>
          </cell>
          <cell r="F11">
            <v>0</v>
          </cell>
          <cell r="J11">
            <v>23.71</v>
          </cell>
          <cell r="L11">
            <v>0</v>
          </cell>
        </row>
        <row r="12">
          <cell r="B12" t="str">
            <v>Manuf</v>
          </cell>
          <cell r="D12">
            <v>0</v>
          </cell>
          <cell r="F12">
            <v>0</v>
          </cell>
          <cell r="J12">
            <v>3.77</v>
          </cell>
          <cell r="L12">
            <v>1</v>
          </cell>
        </row>
        <row r="13">
          <cell r="B13" t="str">
            <v>Manuf</v>
          </cell>
          <cell r="D13">
            <v>0</v>
          </cell>
          <cell r="F13">
            <v>0</v>
          </cell>
          <cell r="J13">
            <v>13.62</v>
          </cell>
          <cell r="L13">
            <v>0</v>
          </cell>
        </row>
        <row r="14">
          <cell r="B14" t="str">
            <v>Manuf</v>
          </cell>
          <cell r="D14">
            <v>1</v>
          </cell>
          <cell r="F14">
            <v>1</v>
          </cell>
          <cell r="J14">
            <v>3.75</v>
          </cell>
          <cell r="L14">
            <v>1</v>
          </cell>
        </row>
        <row r="15">
          <cell r="B15" t="str">
            <v>Manuf</v>
          </cell>
          <cell r="D15">
            <v>1</v>
          </cell>
          <cell r="F15">
            <v>0</v>
          </cell>
          <cell r="J15">
            <v>68.98</v>
          </cell>
          <cell r="L15">
            <v>0</v>
          </cell>
        </row>
        <row r="16">
          <cell r="B16" t="str">
            <v>Manuf</v>
          </cell>
          <cell r="D16">
            <v>0</v>
          </cell>
          <cell r="F16">
            <v>1</v>
          </cell>
          <cell r="J16">
            <v>25.55</v>
          </cell>
          <cell r="L16">
            <v>1</v>
          </cell>
        </row>
        <row r="17">
          <cell r="B17" t="str">
            <v>Manuf</v>
          </cell>
          <cell r="D17">
            <v>0</v>
          </cell>
          <cell r="F17">
            <v>1</v>
          </cell>
          <cell r="J17">
            <v>13.87</v>
          </cell>
          <cell r="L17">
            <v>0</v>
          </cell>
        </row>
        <row r="18">
          <cell r="B18" t="str">
            <v>Manuf</v>
          </cell>
          <cell r="D18">
            <v>0</v>
          </cell>
          <cell r="F18">
            <v>1</v>
          </cell>
          <cell r="J18">
            <v>15.01</v>
          </cell>
          <cell r="L18">
            <v>0</v>
          </cell>
        </row>
        <row r="19">
          <cell r="B19" t="str">
            <v>Manuf</v>
          </cell>
          <cell r="D19">
            <v>1</v>
          </cell>
          <cell r="F19">
            <v>0</v>
          </cell>
          <cell r="J19">
            <v>69.680000000000007</v>
          </cell>
          <cell r="L19">
            <v>0</v>
          </cell>
        </row>
        <row r="20">
          <cell r="B20" t="str">
            <v>Manuf</v>
          </cell>
          <cell r="D20">
            <v>1</v>
          </cell>
          <cell r="F20">
            <v>0</v>
          </cell>
          <cell r="J20">
            <v>30.46</v>
          </cell>
          <cell r="L20">
            <v>1</v>
          </cell>
        </row>
        <row r="21">
          <cell r="B21" t="str">
            <v>Manuf</v>
          </cell>
          <cell r="D21">
            <v>0</v>
          </cell>
          <cell r="F21">
            <v>1</v>
          </cell>
          <cell r="J21">
            <v>101.31</v>
          </cell>
          <cell r="L21">
            <v>1</v>
          </cell>
        </row>
        <row r="22">
          <cell r="B22" t="str">
            <v>Manuf</v>
          </cell>
          <cell r="D22">
            <v>0</v>
          </cell>
          <cell r="F22">
            <v>1</v>
          </cell>
          <cell r="J22">
            <v>4.6900000000000004</v>
          </cell>
          <cell r="L22">
            <v>0</v>
          </cell>
        </row>
        <row r="23">
          <cell r="B23" t="str">
            <v>Manuf</v>
          </cell>
          <cell r="D23">
            <v>1</v>
          </cell>
          <cell r="F23">
            <v>1</v>
          </cell>
          <cell r="J23">
            <v>27.07</v>
          </cell>
          <cell r="L23">
            <v>1</v>
          </cell>
        </row>
        <row r="24">
          <cell r="B24" t="str">
            <v>Manuf</v>
          </cell>
          <cell r="D24">
            <v>1</v>
          </cell>
          <cell r="F24">
            <v>0</v>
          </cell>
          <cell r="J24">
            <v>52.86</v>
          </cell>
          <cell r="L24">
            <v>1</v>
          </cell>
        </row>
        <row r="25">
          <cell r="B25" t="str">
            <v>Manuf</v>
          </cell>
          <cell r="D25">
            <v>0</v>
          </cell>
          <cell r="F25">
            <v>1</v>
          </cell>
          <cell r="J25">
            <v>13.33</v>
          </cell>
          <cell r="L25">
            <v>0</v>
          </cell>
        </row>
        <row r="26">
          <cell r="B26" t="str">
            <v>Manuf</v>
          </cell>
          <cell r="D26">
            <v>1</v>
          </cell>
          <cell r="F26">
            <v>1</v>
          </cell>
          <cell r="J26">
            <v>18.670000000000002</v>
          </cell>
          <cell r="L26">
            <v>0</v>
          </cell>
        </row>
        <row r="27">
          <cell r="B27" t="str">
            <v>Manuf</v>
          </cell>
          <cell r="D27">
            <v>0</v>
          </cell>
          <cell r="F27">
            <v>1</v>
          </cell>
          <cell r="J27">
            <v>34.659999999999997</v>
          </cell>
          <cell r="L27">
            <v>0</v>
          </cell>
        </row>
        <row r="28">
          <cell r="B28" t="str">
            <v>Manuf</v>
          </cell>
          <cell r="D28">
            <v>0</v>
          </cell>
          <cell r="F28">
            <v>0</v>
          </cell>
          <cell r="J28">
            <v>173.91</v>
          </cell>
          <cell r="L28">
            <v>0</v>
          </cell>
        </row>
        <row r="29">
          <cell r="B29" t="str">
            <v>Manuf</v>
          </cell>
          <cell r="D29">
            <v>1</v>
          </cell>
          <cell r="F29">
            <v>0</v>
          </cell>
          <cell r="J29">
            <v>2.33</v>
          </cell>
          <cell r="L29">
            <v>1</v>
          </cell>
        </row>
        <row r="30">
          <cell r="B30" t="str">
            <v>Manuf</v>
          </cell>
          <cell r="D30">
            <v>1</v>
          </cell>
          <cell r="F30">
            <v>0</v>
          </cell>
          <cell r="J30">
            <v>15.9</v>
          </cell>
          <cell r="L30">
            <v>1</v>
          </cell>
        </row>
        <row r="31">
          <cell r="B31" t="str">
            <v>Manuf</v>
          </cell>
          <cell r="D31">
            <v>1</v>
          </cell>
          <cell r="F31">
            <v>1</v>
          </cell>
          <cell r="J31">
            <v>102.97</v>
          </cell>
          <cell r="L31">
            <v>0</v>
          </cell>
        </row>
        <row r="32">
          <cell r="B32" t="str">
            <v>Manuf</v>
          </cell>
          <cell r="D32">
            <v>1</v>
          </cell>
          <cell r="F32">
            <v>1</v>
          </cell>
          <cell r="J32">
            <v>2.95</v>
          </cell>
          <cell r="L32">
            <v>1</v>
          </cell>
        </row>
        <row r="33">
          <cell r="B33" t="str">
            <v>Manuf</v>
          </cell>
          <cell r="D33">
            <v>1</v>
          </cell>
          <cell r="F33">
            <v>1</v>
          </cell>
          <cell r="J33">
            <v>23.36</v>
          </cell>
          <cell r="L33">
            <v>1</v>
          </cell>
        </row>
        <row r="34">
          <cell r="B34" t="str">
            <v>Manuf</v>
          </cell>
          <cell r="D34">
            <v>0</v>
          </cell>
          <cell r="F34">
            <v>1</v>
          </cell>
          <cell r="J34">
            <v>2.11</v>
          </cell>
          <cell r="L34">
            <v>1</v>
          </cell>
        </row>
        <row r="35">
          <cell r="B35" t="str">
            <v>Manuf</v>
          </cell>
          <cell r="D35">
            <v>1</v>
          </cell>
          <cell r="F35">
            <v>0</v>
          </cell>
          <cell r="J35">
            <v>3.96</v>
          </cell>
          <cell r="L35">
            <v>0</v>
          </cell>
        </row>
        <row r="36">
          <cell r="B36" t="str">
            <v>Manuf</v>
          </cell>
          <cell r="D36">
            <v>0</v>
          </cell>
          <cell r="F36">
            <v>1</v>
          </cell>
          <cell r="J36">
            <v>31.42</v>
          </cell>
          <cell r="L36">
            <v>0</v>
          </cell>
        </row>
        <row r="37">
          <cell r="B37" t="str">
            <v>Manuf</v>
          </cell>
          <cell r="D37">
            <v>0</v>
          </cell>
          <cell r="F37">
            <v>0</v>
          </cell>
          <cell r="J37">
            <v>47.49</v>
          </cell>
          <cell r="L37">
            <v>1</v>
          </cell>
        </row>
        <row r="38">
          <cell r="B38" t="str">
            <v>Manuf</v>
          </cell>
          <cell r="D38">
            <v>0</v>
          </cell>
          <cell r="F38">
            <v>0</v>
          </cell>
          <cell r="J38">
            <v>46.49</v>
          </cell>
          <cell r="L38">
            <v>0</v>
          </cell>
        </row>
        <row r="39">
          <cell r="B39" t="str">
            <v>Manuf</v>
          </cell>
          <cell r="D39">
            <v>0</v>
          </cell>
          <cell r="F39">
            <v>0</v>
          </cell>
          <cell r="J39">
            <v>69.44</v>
          </cell>
          <cell r="L39">
            <v>0</v>
          </cell>
        </row>
        <row r="40">
          <cell r="B40" t="str">
            <v>Manuf</v>
          </cell>
          <cell r="D40">
            <v>0</v>
          </cell>
          <cell r="F40">
            <v>1</v>
          </cell>
          <cell r="J40">
            <v>69.81</v>
          </cell>
          <cell r="L40">
            <v>1</v>
          </cell>
        </row>
        <row r="41">
          <cell r="B41" t="str">
            <v>Manuf</v>
          </cell>
          <cell r="D41">
            <v>1</v>
          </cell>
          <cell r="F41">
            <v>1</v>
          </cell>
          <cell r="J41">
            <v>3.93</v>
          </cell>
          <cell r="L41">
            <v>0</v>
          </cell>
        </row>
        <row r="42">
          <cell r="B42" t="str">
            <v>Manuf</v>
          </cell>
          <cell r="D42">
            <v>1</v>
          </cell>
          <cell r="F42">
            <v>1</v>
          </cell>
          <cell r="J42">
            <v>31.8</v>
          </cell>
          <cell r="L42">
            <v>0</v>
          </cell>
        </row>
        <row r="43">
          <cell r="B43" t="str">
            <v>Manuf</v>
          </cell>
          <cell r="D43">
            <v>0</v>
          </cell>
          <cell r="F43">
            <v>1</v>
          </cell>
          <cell r="J43">
            <v>16.63</v>
          </cell>
          <cell r="L43">
            <v>0</v>
          </cell>
        </row>
        <row r="44">
          <cell r="B44" t="str">
            <v>Manuf</v>
          </cell>
          <cell r="D44">
            <v>1</v>
          </cell>
          <cell r="F44">
            <v>0</v>
          </cell>
          <cell r="J44">
            <v>24.82</v>
          </cell>
          <cell r="L44">
            <v>0</v>
          </cell>
        </row>
        <row r="45">
          <cell r="B45" t="str">
            <v>Manuf</v>
          </cell>
          <cell r="D45">
            <v>0</v>
          </cell>
          <cell r="F45">
            <v>1</v>
          </cell>
          <cell r="J45">
            <v>21.79</v>
          </cell>
          <cell r="L45">
            <v>0</v>
          </cell>
        </row>
        <row r="46">
          <cell r="B46" t="str">
            <v>Manuf</v>
          </cell>
          <cell r="D46">
            <v>1</v>
          </cell>
          <cell r="F46">
            <v>1</v>
          </cell>
          <cell r="J46">
            <v>3.15</v>
          </cell>
          <cell r="L46">
            <v>0</v>
          </cell>
        </row>
        <row r="47">
          <cell r="B47" t="str">
            <v>Manuf</v>
          </cell>
          <cell r="D47">
            <v>1</v>
          </cell>
          <cell r="F47">
            <v>0</v>
          </cell>
          <cell r="J47">
            <v>26.19</v>
          </cell>
          <cell r="L47">
            <v>1</v>
          </cell>
        </row>
        <row r="48">
          <cell r="B48" t="str">
            <v>Manuf</v>
          </cell>
          <cell r="D48">
            <v>1</v>
          </cell>
          <cell r="F48">
            <v>0</v>
          </cell>
          <cell r="J48">
            <v>69.790000000000006</v>
          </cell>
          <cell r="L48">
            <v>0</v>
          </cell>
        </row>
        <row r="49">
          <cell r="B49" t="str">
            <v>Manuf</v>
          </cell>
          <cell r="D49">
            <v>0</v>
          </cell>
          <cell r="F49">
            <v>0</v>
          </cell>
          <cell r="J49">
            <v>5.86</v>
          </cell>
          <cell r="L49">
            <v>1</v>
          </cell>
        </row>
        <row r="50">
          <cell r="B50" t="str">
            <v>Manuf</v>
          </cell>
          <cell r="D50">
            <v>0</v>
          </cell>
          <cell r="F50">
            <v>1</v>
          </cell>
          <cell r="J50">
            <v>26.01</v>
          </cell>
          <cell r="L50">
            <v>0</v>
          </cell>
        </row>
        <row r="51">
          <cell r="B51" t="str">
            <v>Manuf</v>
          </cell>
          <cell r="D51">
            <v>0</v>
          </cell>
          <cell r="F51">
            <v>0</v>
          </cell>
          <cell r="J51">
            <v>12.42</v>
          </cell>
          <cell r="L51">
            <v>1</v>
          </cell>
        </row>
        <row r="52">
          <cell r="B52" t="str">
            <v>Manuf</v>
          </cell>
          <cell r="D52">
            <v>0</v>
          </cell>
          <cell r="F52">
            <v>1</v>
          </cell>
          <cell r="J52">
            <v>60.55</v>
          </cell>
          <cell r="L52">
            <v>0</v>
          </cell>
        </row>
        <row r="53">
          <cell r="B53" t="str">
            <v>Manuf</v>
          </cell>
          <cell r="D53">
            <v>0</v>
          </cell>
          <cell r="F53">
            <v>0</v>
          </cell>
          <cell r="J53">
            <v>11.26</v>
          </cell>
          <cell r="L53">
            <v>1</v>
          </cell>
        </row>
        <row r="54">
          <cell r="B54" t="str">
            <v>Manuf</v>
          </cell>
          <cell r="D54">
            <v>0</v>
          </cell>
          <cell r="F54">
            <v>1</v>
          </cell>
          <cell r="J54">
            <v>4.33</v>
          </cell>
          <cell r="L54">
            <v>1</v>
          </cell>
        </row>
        <row r="55">
          <cell r="B55" t="str">
            <v>Manuf</v>
          </cell>
          <cell r="D55">
            <v>1</v>
          </cell>
          <cell r="F55">
            <v>1</v>
          </cell>
          <cell r="J55">
            <v>24.37</v>
          </cell>
          <cell r="L55">
            <v>0</v>
          </cell>
        </row>
        <row r="56">
          <cell r="B56" t="str">
            <v>Manuf</v>
          </cell>
          <cell r="D56">
            <v>1</v>
          </cell>
          <cell r="F56">
            <v>0</v>
          </cell>
          <cell r="J56">
            <v>5.04</v>
          </cell>
          <cell r="L56">
            <v>1</v>
          </cell>
        </row>
        <row r="57">
          <cell r="B57" t="str">
            <v>Manuf</v>
          </cell>
          <cell r="D57">
            <v>0</v>
          </cell>
          <cell r="F57">
            <v>0</v>
          </cell>
          <cell r="J57">
            <v>6.19</v>
          </cell>
          <cell r="L57">
            <v>0</v>
          </cell>
        </row>
        <row r="58">
          <cell r="B58" t="str">
            <v>Manuf</v>
          </cell>
          <cell r="D58">
            <v>0</v>
          </cell>
          <cell r="F58">
            <v>1</v>
          </cell>
          <cell r="J58">
            <v>23.87</v>
          </cell>
          <cell r="L58">
            <v>0</v>
          </cell>
        </row>
        <row r="59">
          <cell r="B59" t="str">
            <v>Manuf</v>
          </cell>
          <cell r="D59">
            <v>0</v>
          </cell>
          <cell r="F59">
            <v>0</v>
          </cell>
          <cell r="J59">
            <v>19.89</v>
          </cell>
          <cell r="L59">
            <v>0</v>
          </cell>
        </row>
        <row r="60">
          <cell r="B60" t="str">
            <v>Manuf</v>
          </cell>
          <cell r="D60">
            <v>1</v>
          </cell>
          <cell r="F60">
            <v>1</v>
          </cell>
          <cell r="J60">
            <v>35.229999999999997</v>
          </cell>
          <cell r="L60">
            <v>0</v>
          </cell>
        </row>
        <row r="61">
          <cell r="B61" t="str">
            <v>Manuf</v>
          </cell>
          <cell r="D61">
            <v>1</v>
          </cell>
          <cell r="F61">
            <v>1</v>
          </cell>
          <cell r="J61">
            <v>6.64</v>
          </cell>
          <cell r="L61">
            <v>0</v>
          </cell>
        </row>
        <row r="62">
          <cell r="B62" t="str">
            <v>Transp</v>
          </cell>
          <cell r="D62">
            <v>0</v>
          </cell>
          <cell r="F62">
            <v>0</v>
          </cell>
          <cell r="J62">
            <v>96.98</v>
          </cell>
          <cell r="L62">
            <v>1</v>
          </cell>
        </row>
        <row r="63">
          <cell r="B63" t="str">
            <v>Transp</v>
          </cell>
          <cell r="D63">
            <v>1</v>
          </cell>
          <cell r="F63">
            <v>1</v>
          </cell>
          <cell r="J63">
            <v>4.1100000000000003</v>
          </cell>
          <cell r="L63">
            <v>0</v>
          </cell>
        </row>
        <row r="64">
          <cell r="B64" t="str">
            <v>Transp</v>
          </cell>
          <cell r="D64">
            <v>0</v>
          </cell>
          <cell r="F64">
            <v>1</v>
          </cell>
          <cell r="J64">
            <v>2.4500000000000002</v>
          </cell>
          <cell r="L64">
            <v>1</v>
          </cell>
        </row>
        <row r="65">
          <cell r="B65" t="str">
            <v>Transp</v>
          </cell>
          <cell r="D65">
            <v>0</v>
          </cell>
          <cell r="F65">
            <v>1</v>
          </cell>
          <cell r="J65">
            <v>7</v>
          </cell>
          <cell r="L65">
            <v>1</v>
          </cell>
        </row>
        <row r="66">
          <cell r="B66" t="str">
            <v>Transp</v>
          </cell>
          <cell r="D66">
            <v>0</v>
          </cell>
          <cell r="F66">
            <v>1</v>
          </cell>
          <cell r="J66">
            <v>18.940000000000001</v>
          </cell>
          <cell r="L66">
            <v>0</v>
          </cell>
        </row>
        <row r="67">
          <cell r="B67" t="str">
            <v>Transp</v>
          </cell>
          <cell r="D67">
            <v>0</v>
          </cell>
          <cell r="F67">
            <v>0</v>
          </cell>
          <cell r="J67">
            <v>18.07</v>
          </cell>
          <cell r="L67">
            <v>0</v>
          </cell>
        </row>
        <row r="68">
          <cell r="B68" t="str">
            <v>Transp</v>
          </cell>
          <cell r="D68">
            <v>0</v>
          </cell>
          <cell r="F68">
            <v>1</v>
          </cell>
          <cell r="J68">
            <v>94.3</v>
          </cell>
          <cell r="L68">
            <v>1</v>
          </cell>
        </row>
        <row r="69">
          <cell r="B69" t="str">
            <v>Transp</v>
          </cell>
          <cell r="D69">
            <v>0</v>
          </cell>
          <cell r="F69">
            <v>1</v>
          </cell>
          <cell r="J69">
            <v>10.119999999999999</v>
          </cell>
          <cell r="L69">
            <v>1</v>
          </cell>
        </row>
        <row r="70">
          <cell r="B70" t="str">
            <v>Transp</v>
          </cell>
          <cell r="D70">
            <v>1</v>
          </cell>
          <cell r="F70">
            <v>1</v>
          </cell>
          <cell r="J70">
            <v>23.12</v>
          </cell>
          <cell r="L70">
            <v>1</v>
          </cell>
        </row>
        <row r="71">
          <cell r="B71" t="str">
            <v>Transp</v>
          </cell>
          <cell r="D71">
            <v>0</v>
          </cell>
          <cell r="F71">
            <v>1</v>
          </cell>
          <cell r="J71">
            <v>37.200000000000003</v>
          </cell>
          <cell r="L71">
            <v>0</v>
          </cell>
        </row>
        <row r="72">
          <cell r="B72" t="str">
            <v>Transp</v>
          </cell>
          <cell r="D72">
            <v>1</v>
          </cell>
          <cell r="F72">
            <v>1</v>
          </cell>
          <cell r="J72">
            <v>4.4400000000000004</v>
          </cell>
          <cell r="L72">
            <v>0</v>
          </cell>
        </row>
        <row r="73">
          <cell r="B73" t="str">
            <v>Transp</v>
          </cell>
          <cell r="D73">
            <v>0</v>
          </cell>
          <cell r="F73">
            <v>0</v>
          </cell>
          <cell r="J73">
            <v>32.06</v>
          </cell>
          <cell r="L73">
            <v>1</v>
          </cell>
        </row>
        <row r="74">
          <cell r="B74" t="str">
            <v>Transp</v>
          </cell>
          <cell r="D74">
            <v>1</v>
          </cell>
          <cell r="F74">
            <v>1</v>
          </cell>
          <cell r="J74">
            <v>18.690000000000001</v>
          </cell>
          <cell r="L74">
            <v>0</v>
          </cell>
        </row>
        <row r="75">
          <cell r="B75" t="str">
            <v>Transp</v>
          </cell>
          <cell r="D75">
            <v>0</v>
          </cell>
          <cell r="F75">
            <v>1</v>
          </cell>
          <cell r="J75">
            <v>77.16</v>
          </cell>
          <cell r="L75">
            <v>1</v>
          </cell>
        </row>
        <row r="76">
          <cell r="B76" t="str">
            <v>Transp</v>
          </cell>
          <cell r="D76">
            <v>0</v>
          </cell>
          <cell r="F76">
            <v>1</v>
          </cell>
          <cell r="J76">
            <v>8.06</v>
          </cell>
          <cell r="L76">
            <v>0</v>
          </cell>
        </row>
        <row r="77">
          <cell r="B77" t="str">
            <v>Transp</v>
          </cell>
          <cell r="D77">
            <v>0</v>
          </cell>
          <cell r="F77">
            <v>1</v>
          </cell>
          <cell r="J77">
            <v>13.15</v>
          </cell>
          <cell r="L77">
            <v>0</v>
          </cell>
        </row>
        <row r="78">
          <cell r="B78" t="str">
            <v>Transp</v>
          </cell>
          <cell r="D78">
            <v>1</v>
          </cell>
          <cell r="F78">
            <v>1</v>
          </cell>
          <cell r="J78">
            <v>23.28</v>
          </cell>
          <cell r="L78">
            <v>1</v>
          </cell>
        </row>
        <row r="79">
          <cell r="B79" t="str">
            <v>Transp</v>
          </cell>
          <cell r="D79">
            <v>1</v>
          </cell>
          <cell r="F79">
            <v>0</v>
          </cell>
          <cell r="J79">
            <v>58.62</v>
          </cell>
          <cell r="L79">
            <v>1</v>
          </cell>
        </row>
        <row r="80">
          <cell r="B80" t="str">
            <v>Transp</v>
          </cell>
          <cell r="D80">
            <v>1</v>
          </cell>
          <cell r="F80">
            <v>1</v>
          </cell>
          <cell r="J80">
            <v>2</v>
          </cell>
          <cell r="L80">
            <v>1</v>
          </cell>
        </row>
        <row r="81">
          <cell r="B81" t="str">
            <v>Transp</v>
          </cell>
          <cell r="D81">
            <v>1</v>
          </cell>
          <cell r="F81">
            <v>0</v>
          </cell>
          <cell r="J81">
            <v>9.8699999999999992</v>
          </cell>
          <cell r="L81">
            <v>0</v>
          </cell>
        </row>
        <row r="82">
          <cell r="B82" t="str">
            <v>Transp</v>
          </cell>
          <cell r="D82">
            <v>0</v>
          </cell>
          <cell r="F82">
            <v>1</v>
          </cell>
          <cell r="J82">
            <v>4.24</v>
          </cell>
          <cell r="L82">
            <v>0</v>
          </cell>
        </row>
        <row r="83">
          <cell r="B83" t="str">
            <v>Transp</v>
          </cell>
          <cell r="D83">
            <v>1</v>
          </cell>
          <cell r="F83">
            <v>0</v>
          </cell>
          <cell r="J83">
            <v>16.63</v>
          </cell>
          <cell r="L83">
            <v>1</v>
          </cell>
        </row>
        <row r="84">
          <cell r="B84" t="str">
            <v>Transp</v>
          </cell>
          <cell r="D84">
            <v>0</v>
          </cell>
          <cell r="F84">
            <v>1</v>
          </cell>
          <cell r="J84">
            <v>38.200000000000003</v>
          </cell>
          <cell r="L84">
            <v>1</v>
          </cell>
        </row>
        <row r="85">
          <cell r="B85" t="str">
            <v>Transp</v>
          </cell>
          <cell r="D85">
            <v>0</v>
          </cell>
          <cell r="F85">
            <v>1</v>
          </cell>
          <cell r="J85">
            <v>10.66</v>
          </cell>
          <cell r="L85">
            <v>1</v>
          </cell>
        </row>
        <row r="86">
          <cell r="B86" t="str">
            <v>Transp</v>
          </cell>
          <cell r="D86">
            <v>0</v>
          </cell>
          <cell r="F86">
            <v>0</v>
          </cell>
          <cell r="J86">
            <v>50.65</v>
          </cell>
          <cell r="L86">
            <v>0</v>
          </cell>
        </row>
        <row r="87">
          <cell r="B87" t="str">
            <v>Transp</v>
          </cell>
          <cell r="D87">
            <v>0</v>
          </cell>
          <cell r="F87">
            <v>1</v>
          </cell>
          <cell r="J87">
            <v>48.32</v>
          </cell>
          <cell r="L87">
            <v>1</v>
          </cell>
        </row>
        <row r="88">
          <cell r="B88" t="str">
            <v>Transp</v>
          </cell>
          <cell r="D88">
            <v>0</v>
          </cell>
          <cell r="F88">
            <v>0</v>
          </cell>
          <cell r="J88">
            <v>3.39</v>
          </cell>
          <cell r="L88">
            <v>0</v>
          </cell>
        </row>
        <row r="89">
          <cell r="B89" t="str">
            <v>Transp</v>
          </cell>
          <cell r="D89">
            <v>1</v>
          </cell>
          <cell r="F89">
            <v>1</v>
          </cell>
          <cell r="J89">
            <v>9.58</v>
          </cell>
          <cell r="L89">
            <v>0</v>
          </cell>
        </row>
        <row r="90">
          <cell r="B90" t="str">
            <v>Transp</v>
          </cell>
          <cell r="D90">
            <v>1</v>
          </cell>
          <cell r="F90">
            <v>1</v>
          </cell>
          <cell r="J90">
            <v>36.15</v>
          </cell>
          <cell r="L90">
            <v>1</v>
          </cell>
        </row>
        <row r="91">
          <cell r="B91" t="str">
            <v>Transp</v>
          </cell>
          <cell r="D91">
            <v>0</v>
          </cell>
          <cell r="F91">
            <v>1</v>
          </cell>
          <cell r="J91">
            <v>65.569999999999993</v>
          </cell>
          <cell r="L91">
            <v>1</v>
          </cell>
        </row>
        <row r="92">
          <cell r="B92" t="str">
            <v>Transp</v>
          </cell>
          <cell r="D92">
            <v>0</v>
          </cell>
          <cell r="F92">
            <v>0</v>
          </cell>
          <cell r="J92">
            <v>7.12</v>
          </cell>
          <cell r="L92">
            <v>0</v>
          </cell>
        </row>
        <row r="93">
          <cell r="B93" t="str">
            <v>Transp</v>
          </cell>
          <cell r="D93">
            <v>0</v>
          </cell>
          <cell r="F93">
            <v>1</v>
          </cell>
          <cell r="J93">
            <v>5.26</v>
          </cell>
          <cell r="L93">
            <v>0</v>
          </cell>
        </row>
        <row r="94">
          <cell r="B94" t="str">
            <v>Transp</v>
          </cell>
          <cell r="D94">
            <v>0</v>
          </cell>
          <cell r="F94">
            <v>1</v>
          </cell>
          <cell r="J94">
            <v>17.97</v>
          </cell>
          <cell r="L94">
            <v>1</v>
          </cell>
        </row>
        <row r="95">
          <cell r="B95" t="str">
            <v>Transp</v>
          </cell>
          <cell r="D95">
            <v>0</v>
          </cell>
          <cell r="F95">
            <v>0</v>
          </cell>
          <cell r="J95">
            <v>6.2</v>
          </cell>
          <cell r="L95">
            <v>0</v>
          </cell>
        </row>
        <row r="96">
          <cell r="B96" t="str">
            <v>Transp</v>
          </cell>
          <cell r="D96">
            <v>0</v>
          </cell>
          <cell r="F96">
            <v>0</v>
          </cell>
          <cell r="J96">
            <v>75.86</v>
          </cell>
          <cell r="L96">
            <v>0</v>
          </cell>
        </row>
        <row r="97">
          <cell r="B97" t="str">
            <v>Transp</v>
          </cell>
          <cell r="D97">
            <v>0</v>
          </cell>
          <cell r="F97">
            <v>1</v>
          </cell>
          <cell r="J97">
            <v>44.95</v>
          </cell>
          <cell r="L97">
            <v>0</v>
          </cell>
        </row>
        <row r="98">
          <cell r="B98" t="str">
            <v>Transp</v>
          </cell>
          <cell r="D98">
            <v>0</v>
          </cell>
          <cell r="F98">
            <v>0</v>
          </cell>
          <cell r="J98">
            <v>34.270000000000003</v>
          </cell>
          <cell r="L98">
            <v>0</v>
          </cell>
        </row>
        <row r="99">
          <cell r="B99" t="str">
            <v>Transp</v>
          </cell>
          <cell r="D99">
            <v>1</v>
          </cell>
          <cell r="F99">
            <v>1</v>
          </cell>
          <cell r="J99">
            <v>8.4499999999999993</v>
          </cell>
          <cell r="L99">
            <v>1</v>
          </cell>
        </row>
        <row r="100">
          <cell r="B100" t="str">
            <v>Transp</v>
          </cell>
          <cell r="D100">
            <v>0</v>
          </cell>
          <cell r="F100">
            <v>0</v>
          </cell>
          <cell r="J100">
            <v>2.71</v>
          </cell>
          <cell r="L100">
            <v>1</v>
          </cell>
        </row>
        <row r="101">
          <cell r="B101" t="str">
            <v>Transp</v>
          </cell>
          <cell r="D101">
            <v>0</v>
          </cell>
          <cell r="F101">
            <v>0</v>
          </cell>
          <cell r="J101">
            <v>11.59</v>
          </cell>
          <cell r="L101">
            <v>1</v>
          </cell>
        </row>
        <row r="102">
          <cell r="B102" t="str">
            <v>Transp</v>
          </cell>
          <cell r="D102">
            <v>1</v>
          </cell>
          <cell r="F102">
            <v>1</v>
          </cell>
          <cell r="J102">
            <v>5.43</v>
          </cell>
          <cell r="L102">
            <v>0</v>
          </cell>
        </row>
        <row r="103">
          <cell r="B103" t="str">
            <v>Transp</v>
          </cell>
          <cell r="D103">
            <v>0</v>
          </cell>
          <cell r="F103">
            <v>1</v>
          </cell>
          <cell r="J103">
            <v>2.54</v>
          </cell>
          <cell r="L103">
            <v>1</v>
          </cell>
        </row>
        <row r="104">
          <cell r="B104" t="str">
            <v>Transp</v>
          </cell>
          <cell r="D104">
            <v>0</v>
          </cell>
          <cell r="F104">
            <v>0</v>
          </cell>
          <cell r="J104">
            <v>11.94</v>
          </cell>
          <cell r="L104">
            <v>1</v>
          </cell>
        </row>
        <row r="105">
          <cell r="B105" t="str">
            <v>Transp</v>
          </cell>
          <cell r="D105">
            <v>0</v>
          </cell>
          <cell r="F105">
            <v>1</v>
          </cell>
          <cell r="J105">
            <v>50.89</v>
          </cell>
          <cell r="L105">
            <v>0</v>
          </cell>
        </row>
        <row r="106">
          <cell r="B106" t="str">
            <v>Transp</v>
          </cell>
          <cell r="D106">
            <v>0</v>
          </cell>
          <cell r="F106">
            <v>1</v>
          </cell>
          <cell r="J106">
            <v>39.409999999999997</v>
          </cell>
          <cell r="L106">
            <v>1</v>
          </cell>
        </row>
        <row r="107">
          <cell r="B107" t="str">
            <v>Transp</v>
          </cell>
          <cell r="D107">
            <v>0</v>
          </cell>
          <cell r="F107">
            <v>1</v>
          </cell>
          <cell r="J107">
            <v>25.47</v>
          </cell>
          <cell r="L107">
            <v>1</v>
          </cell>
        </row>
        <row r="108">
          <cell r="B108" t="str">
            <v>Transp</v>
          </cell>
          <cell r="D108">
            <v>0</v>
          </cell>
          <cell r="F108">
            <v>0</v>
          </cell>
          <cell r="J108">
            <v>7.41</v>
          </cell>
          <cell r="L108">
            <v>1</v>
          </cell>
        </row>
        <row r="109">
          <cell r="B109" t="str">
            <v>Transp</v>
          </cell>
          <cell r="D109">
            <v>0</v>
          </cell>
          <cell r="F109">
            <v>1</v>
          </cell>
          <cell r="J109">
            <v>51.09</v>
          </cell>
          <cell r="L109">
            <v>1</v>
          </cell>
        </row>
        <row r="110">
          <cell r="B110" t="str">
            <v>Transp</v>
          </cell>
          <cell r="D110">
            <v>0</v>
          </cell>
          <cell r="F110">
            <v>1</v>
          </cell>
          <cell r="J110">
            <v>3.25</v>
          </cell>
          <cell r="L110">
            <v>1</v>
          </cell>
        </row>
        <row r="111">
          <cell r="B111" t="str">
            <v>Transp</v>
          </cell>
          <cell r="D111">
            <v>0</v>
          </cell>
          <cell r="F111">
            <v>1</v>
          </cell>
          <cell r="J111">
            <v>40.64</v>
          </cell>
          <cell r="L111">
            <v>1</v>
          </cell>
        </row>
        <row r="112">
          <cell r="B112" t="str">
            <v>Transp</v>
          </cell>
          <cell r="D112">
            <v>1</v>
          </cell>
          <cell r="F112">
            <v>1</v>
          </cell>
          <cell r="J112">
            <v>66.33</v>
          </cell>
          <cell r="L112">
            <v>1</v>
          </cell>
        </row>
        <row r="113">
          <cell r="B113" t="str">
            <v>Transp</v>
          </cell>
          <cell r="D113">
            <v>0</v>
          </cell>
          <cell r="F113">
            <v>1</v>
          </cell>
          <cell r="J113">
            <v>19.13</v>
          </cell>
          <cell r="L113">
            <v>1</v>
          </cell>
        </row>
        <row r="114">
          <cell r="B114" t="str">
            <v>Transp</v>
          </cell>
          <cell r="D114">
            <v>0</v>
          </cell>
          <cell r="F114">
            <v>0</v>
          </cell>
          <cell r="J114">
            <v>64.540000000000006</v>
          </cell>
          <cell r="L114">
            <v>1</v>
          </cell>
        </row>
        <row r="115">
          <cell r="B115" t="str">
            <v>Transp</v>
          </cell>
          <cell r="D115">
            <v>0</v>
          </cell>
          <cell r="F115">
            <v>1</v>
          </cell>
          <cell r="J115">
            <v>30.41</v>
          </cell>
          <cell r="L115">
            <v>0</v>
          </cell>
        </row>
        <row r="116">
          <cell r="B116" t="str">
            <v>Transp</v>
          </cell>
          <cell r="D116">
            <v>0</v>
          </cell>
          <cell r="F116">
            <v>0</v>
          </cell>
          <cell r="J116">
            <v>29.98</v>
          </cell>
          <cell r="L116">
            <v>0</v>
          </cell>
        </row>
        <row r="117">
          <cell r="B117" t="str">
            <v>Transp</v>
          </cell>
          <cell r="D117">
            <v>0</v>
          </cell>
          <cell r="F117">
            <v>1</v>
          </cell>
          <cell r="J117">
            <v>201.92</v>
          </cell>
          <cell r="L117">
            <v>1</v>
          </cell>
        </row>
        <row r="118">
          <cell r="B118" t="str">
            <v>Transp</v>
          </cell>
          <cell r="D118">
            <v>0</v>
          </cell>
          <cell r="F118">
            <v>0</v>
          </cell>
          <cell r="J118">
            <v>15.5</v>
          </cell>
          <cell r="L118">
            <v>0</v>
          </cell>
        </row>
        <row r="119">
          <cell r="B119" t="str">
            <v>Transp</v>
          </cell>
          <cell r="D119">
            <v>0</v>
          </cell>
          <cell r="F119">
            <v>0</v>
          </cell>
          <cell r="J119">
            <v>1.95</v>
          </cell>
          <cell r="L119">
            <v>1</v>
          </cell>
        </row>
        <row r="120">
          <cell r="B120" t="str">
            <v>Transp</v>
          </cell>
          <cell r="D120">
            <v>0</v>
          </cell>
          <cell r="F120">
            <v>0</v>
          </cell>
          <cell r="J120">
            <v>7.84</v>
          </cell>
          <cell r="L120">
            <v>1</v>
          </cell>
        </row>
        <row r="121">
          <cell r="B121" t="str">
            <v>Transp</v>
          </cell>
          <cell r="D121">
            <v>1</v>
          </cell>
          <cell r="F121">
            <v>0</v>
          </cell>
          <cell r="J121">
            <v>124.17</v>
          </cell>
          <cell r="L121">
            <v>0</v>
          </cell>
        </row>
        <row r="122">
          <cell r="B122" t="str">
            <v>Transp</v>
          </cell>
          <cell r="D122">
            <v>1</v>
          </cell>
          <cell r="F122">
            <v>1</v>
          </cell>
          <cell r="J122">
            <v>39.909999999999997</v>
          </cell>
          <cell r="L122">
            <v>1</v>
          </cell>
        </row>
        <row r="123">
          <cell r="B123" t="str">
            <v>Transp</v>
          </cell>
          <cell r="D123">
            <v>0</v>
          </cell>
          <cell r="F123">
            <v>0</v>
          </cell>
          <cell r="J123">
            <v>55.16</v>
          </cell>
          <cell r="L123">
            <v>0</v>
          </cell>
        </row>
        <row r="124">
          <cell r="B124" t="str">
            <v>Transp</v>
          </cell>
          <cell r="D124">
            <v>0</v>
          </cell>
          <cell r="F124">
            <v>0</v>
          </cell>
          <cell r="J124">
            <v>2.06</v>
          </cell>
          <cell r="L124">
            <v>1</v>
          </cell>
        </row>
        <row r="125">
          <cell r="B125" t="str">
            <v>Transp</v>
          </cell>
          <cell r="D125">
            <v>0</v>
          </cell>
          <cell r="F125">
            <v>1</v>
          </cell>
          <cell r="J125">
            <v>5.89</v>
          </cell>
          <cell r="L125">
            <v>1</v>
          </cell>
        </row>
        <row r="126">
          <cell r="B126" t="str">
            <v>Transp</v>
          </cell>
          <cell r="D126">
            <v>1</v>
          </cell>
          <cell r="F126">
            <v>1</v>
          </cell>
          <cell r="J126">
            <v>39.54</v>
          </cell>
          <cell r="L126">
            <v>1</v>
          </cell>
        </row>
        <row r="127">
          <cell r="B127" t="str">
            <v>Transp</v>
          </cell>
          <cell r="D127">
            <v>1</v>
          </cell>
          <cell r="F127">
            <v>1</v>
          </cell>
          <cell r="J127">
            <v>2.31</v>
          </cell>
          <cell r="L127">
            <v>1</v>
          </cell>
        </row>
        <row r="128">
          <cell r="B128" t="str">
            <v>Transp</v>
          </cell>
          <cell r="D128">
            <v>0</v>
          </cell>
          <cell r="F128">
            <v>0</v>
          </cell>
          <cell r="J128">
            <v>5.08</v>
          </cell>
          <cell r="L128">
            <v>1</v>
          </cell>
        </row>
        <row r="129">
          <cell r="B129" t="str">
            <v>Transp</v>
          </cell>
          <cell r="D129">
            <v>0</v>
          </cell>
          <cell r="F129">
            <v>1</v>
          </cell>
          <cell r="J129">
            <v>3.8</v>
          </cell>
          <cell r="L129">
            <v>1</v>
          </cell>
        </row>
        <row r="130">
          <cell r="B130" t="str">
            <v>Transp</v>
          </cell>
          <cell r="D130">
            <v>0</v>
          </cell>
          <cell r="F130">
            <v>0</v>
          </cell>
          <cell r="J130">
            <v>124.47</v>
          </cell>
          <cell r="L130">
            <v>0</v>
          </cell>
        </row>
        <row r="131">
          <cell r="B131" t="str">
            <v>Transp</v>
          </cell>
          <cell r="D131">
            <v>0</v>
          </cell>
          <cell r="F131">
            <v>1</v>
          </cell>
          <cell r="J131">
            <v>1.92</v>
          </cell>
          <cell r="L131">
            <v>1</v>
          </cell>
        </row>
        <row r="132">
          <cell r="B132" t="str">
            <v>Transp</v>
          </cell>
          <cell r="D132">
            <v>0</v>
          </cell>
          <cell r="F132">
            <v>1</v>
          </cell>
          <cell r="J132">
            <v>48.55</v>
          </cell>
          <cell r="L132">
            <v>0</v>
          </cell>
        </row>
        <row r="133">
          <cell r="B133" t="str">
            <v>Transp</v>
          </cell>
          <cell r="D133">
            <v>0</v>
          </cell>
          <cell r="F133">
            <v>1</v>
          </cell>
          <cell r="J133">
            <v>38.57</v>
          </cell>
          <cell r="L133">
            <v>1</v>
          </cell>
        </row>
        <row r="134">
          <cell r="B134" t="str">
            <v>Transp</v>
          </cell>
          <cell r="D134">
            <v>0</v>
          </cell>
          <cell r="F134">
            <v>1</v>
          </cell>
          <cell r="J134">
            <v>25.07</v>
          </cell>
          <cell r="L134">
            <v>1</v>
          </cell>
        </row>
        <row r="135">
          <cell r="B135" t="str">
            <v>Transp</v>
          </cell>
          <cell r="D135">
            <v>0</v>
          </cell>
          <cell r="F135">
            <v>1</v>
          </cell>
          <cell r="J135">
            <v>22.04</v>
          </cell>
          <cell r="L135">
            <v>0</v>
          </cell>
        </row>
        <row r="136">
          <cell r="B136" t="str">
            <v>Transp</v>
          </cell>
          <cell r="D136">
            <v>1</v>
          </cell>
          <cell r="F136">
            <v>1</v>
          </cell>
          <cell r="J136">
            <v>13.01</v>
          </cell>
          <cell r="L136">
            <v>1</v>
          </cell>
        </row>
        <row r="137">
          <cell r="B137" t="str">
            <v>Transp</v>
          </cell>
          <cell r="D137">
            <v>0</v>
          </cell>
          <cell r="F137">
            <v>1</v>
          </cell>
          <cell r="J137">
            <v>13.48</v>
          </cell>
          <cell r="L137">
            <v>0</v>
          </cell>
        </row>
        <row r="138">
          <cell r="B138" t="str">
            <v>Transp</v>
          </cell>
          <cell r="D138">
            <v>1</v>
          </cell>
          <cell r="F138">
            <v>0</v>
          </cell>
          <cell r="J138">
            <v>25.51</v>
          </cell>
          <cell r="L138">
            <v>1</v>
          </cell>
        </row>
        <row r="139">
          <cell r="B139" t="str">
            <v>Transp</v>
          </cell>
          <cell r="D139">
            <v>0</v>
          </cell>
          <cell r="F139">
            <v>1</v>
          </cell>
          <cell r="J139">
            <v>36.22</v>
          </cell>
          <cell r="L139">
            <v>1</v>
          </cell>
        </row>
        <row r="140">
          <cell r="B140" t="str">
            <v>Transp</v>
          </cell>
          <cell r="D140">
            <v>0</v>
          </cell>
          <cell r="F140">
            <v>1</v>
          </cell>
          <cell r="J140">
            <v>30.51</v>
          </cell>
          <cell r="L140">
            <v>1</v>
          </cell>
        </row>
        <row r="141">
          <cell r="B141" t="str">
            <v>Transp</v>
          </cell>
          <cell r="D141">
            <v>0</v>
          </cell>
          <cell r="F141">
            <v>1</v>
          </cell>
          <cell r="J141">
            <v>33.409999999999997</v>
          </cell>
          <cell r="L141">
            <v>0</v>
          </cell>
        </row>
        <row r="142">
          <cell r="B142" t="str">
            <v>Transp</v>
          </cell>
          <cell r="D142">
            <v>1</v>
          </cell>
          <cell r="F142">
            <v>1</v>
          </cell>
          <cell r="J142">
            <v>14.75</v>
          </cell>
          <cell r="L142">
            <v>1</v>
          </cell>
        </row>
        <row r="143">
          <cell r="B143" t="str">
            <v>Transp</v>
          </cell>
          <cell r="D143">
            <v>0</v>
          </cell>
          <cell r="F143">
            <v>1</v>
          </cell>
          <cell r="J143">
            <v>10.55</v>
          </cell>
          <cell r="L143">
            <v>1</v>
          </cell>
        </row>
        <row r="144">
          <cell r="B144" t="str">
            <v>Transp</v>
          </cell>
          <cell r="D144">
            <v>0</v>
          </cell>
          <cell r="F144">
            <v>0</v>
          </cell>
          <cell r="J144">
            <v>5.41</v>
          </cell>
          <cell r="L144">
            <v>0</v>
          </cell>
        </row>
        <row r="145">
          <cell r="B145" t="str">
            <v>Transp</v>
          </cell>
          <cell r="D145">
            <v>0</v>
          </cell>
          <cell r="F145">
            <v>1</v>
          </cell>
          <cell r="J145">
            <v>13.08</v>
          </cell>
          <cell r="L145">
            <v>1</v>
          </cell>
        </row>
        <row r="146">
          <cell r="B146" t="str">
            <v>Constr</v>
          </cell>
          <cell r="D146">
            <v>1</v>
          </cell>
          <cell r="F146">
            <v>1</v>
          </cell>
          <cell r="J146">
            <v>3.37</v>
          </cell>
          <cell r="L146">
            <v>0</v>
          </cell>
        </row>
        <row r="147">
          <cell r="B147" t="str">
            <v>Constr</v>
          </cell>
          <cell r="D147">
            <v>0</v>
          </cell>
          <cell r="F147">
            <v>0</v>
          </cell>
          <cell r="J147">
            <v>15.68</v>
          </cell>
          <cell r="L147">
            <v>1</v>
          </cell>
        </row>
        <row r="148">
          <cell r="B148" t="str">
            <v>Constr</v>
          </cell>
          <cell r="D148">
            <v>0</v>
          </cell>
          <cell r="F148">
            <v>1</v>
          </cell>
          <cell r="J148">
            <v>37.299999999999997</v>
          </cell>
          <cell r="L148">
            <v>0</v>
          </cell>
        </row>
        <row r="149">
          <cell r="B149" t="str">
            <v>Constr</v>
          </cell>
          <cell r="D149">
            <v>0</v>
          </cell>
          <cell r="F149">
            <v>1</v>
          </cell>
          <cell r="J149">
            <v>43.9</v>
          </cell>
          <cell r="L149">
            <v>0</v>
          </cell>
        </row>
        <row r="150">
          <cell r="B150" t="str">
            <v>Constr</v>
          </cell>
          <cell r="D150">
            <v>1</v>
          </cell>
          <cell r="F150">
            <v>1</v>
          </cell>
          <cell r="J150">
            <v>78.48</v>
          </cell>
          <cell r="L150">
            <v>0</v>
          </cell>
        </row>
        <row r="151">
          <cell r="B151" t="str">
            <v>Constr</v>
          </cell>
          <cell r="D151">
            <v>0</v>
          </cell>
          <cell r="F151">
            <v>1</v>
          </cell>
          <cell r="J151">
            <v>35.97</v>
          </cell>
          <cell r="L151">
            <v>0</v>
          </cell>
        </row>
        <row r="152">
          <cell r="B152" t="str">
            <v>Constr</v>
          </cell>
          <cell r="D152">
            <v>1</v>
          </cell>
          <cell r="F152">
            <v>0</v>
          </cell>
          <cell r="J152">
            <v>51.58</v>
          </cell>
          <cell r="L152">
            <v>0</v>
          </cell>
        </row>
        <row r="153">
          <cell r="B153" t="str">
            <v>Constr</v>
          </cell>
          <cell r="D153">
            <v>1</v>
          </cell>
          <cell r="F153">
            <v>0</v>
          </cell>
          <cell r="J153">
            <v>75.27</v>
          </cell>
          <cell r="L153">
            <v>0</v>
          </cell>
        </row>
        <row r="154">
          <cell r="B154" t="str">
            <v>Constr</v>
          </cell>
          <cell r="D154">
            <v>1</v>
          </cell>
          <cell r="F154">
            <v>0</v>
          </cell>
          <cell r="J154">
            <v>8.5500000000000007</v>
          </cell>
          <cell r="L154">
            <v>0</v>
          </cell>
        </row>
        <row r="155">
          <cell r="B155" t="str">
            <v>Constr</v>
          </cell>
          <cell r="D155">
            <v>0</v>
          </cell>
          <cell r="F155">
            <v>1</v>
          </cell>
          <cell r="J155">
            <v>75.930000000000007</v>
          </cell>
          <cell r="L155">
            <v>0</v>
          </cell>
        </row>
        <row r="156">
          <cell r="B156" t="str">
            <v>Constr</v>
          </cell>
          <cell r="D156">
            <v>1</v>
          </cell>
          <cell r="F156">
            <v>1</v>
          </cell>
          <cell r="J156">
            <v>38.94</v>
          </cell>
          <cell r="L156">
            <v>0</v>
          </cell>
        </row>
        <row r="157">
          <cell r="B157" t="str">
            <v>Constr</v>
          </cell>
          <cell r="D157">
            <v>0</v>
          </cell>
          <cell r="F157">
            <v>1</v>
          </cell>
          <cell r="J157">
            <v>15.43</v>
          </cell>
          <cell r="L157">
            <v>0</v>
          </cell>
        </row>
        <row r="158">
          <cell r="B158" t="str">
            <v>Constr</v>
          </cell>
          <cell r="D158">
            <v>0</v>
          </cell>
          <cell r="F158">
            <v>1</v>
          </cell>
          <cell r="J158">
            <v>84.22</v>
          </cell>
          <cell r="L158">
            <v>0</v>
          </cell>
        </row>
        <row r="159">
          <cell r="B159" t="str">
            <v>Constr</v>
          </cell>
          <cell r="D159">
            <v>0</v>
          </cell>
          <cell r="F159">
            <v>1</v>
          </cell>
          <cell r="J159">
            <v>9.32</v>
          </cell>
          <cell r="L159">
            <v>0</v>
          </cell>
        </row>
        <row r="160">
          <cell r="B160" t="str">
            <v>Constr</v>
          </cell>
          <cell r="D160">
            <v>0</v>
          </cell>
          <cell r="F160">
            <v>1</v>
          </cell>
          <cell r="J160">
            <v>230.03</v>
          </cell>
          <cell r="L160">
            <v>1</v>
          </cell>
        </row>
        <row r="161">
          <cell r="B161" t="str">
            <v>Constr</v>
          </cell>
          <cell r="D161">
            <v>1</v>
          </cell>
          <cell r="F161">
            <v>0</v>
          </cell>
          <cell r="J161">
            <v>70.069999999999993</v>
          </cell>
          <cell r="L161">
            <v>1</v>
          </cell>
        </row>
        <row r="162">
          <cell r="B162" t="str">
            <v>Constr</v>
          </cell>
          <cell r="D162">
            <v>0</v>
          </cell>
          <cell r="F162">
            <v>1</v>
          </cell>
          <cell r="J162">
            <v>11.12</v>
          </cell>
          <cell r="L162">
            <v>0</v>
          </cell>
        </row>
        <row r="163">
          <cell r="B163" t="str">
            <v>Constr</v>
          </cell>
          <cell r="D163">
            <v>0</v>
          </cell>
          <cell r="F163">
            <v>1</v>
          </cell>
          <cell r="J163">
            <v>81.66</v>
          </cell>
          <cell r="L163">
            <v>0</v>
          </cell>
        </row>
        <row r="164">
          <cell r="B164" t="str">
            <v>Constr</v>
          </cell>
          <cell r="D164">
            <v>1</v>
          </cell>
          <cell r="F164">
            <v>1</v>
          </cell>
          <cell r="J164">
            <v>11.36</v>
          </cell>
          <cell r="L164">
            <v>0</v>
          </cell>
        </row>
        <row r="165">
          <cell r="B165" t="str">
            <v>Constr</v>
          </cell>
          <cell r="D165">
            <v>1</v>
          </cell>
          <cell r="F165">
            <v>1</v>
          </cell>
          <cell r="J165">
            <v>4.78</v>
          </cell>
          <cell r="L165">
            <v>0</v>
          </cell>
        </row>
        <row r="166">
          <cell r="B166" t="str">
            <v>Constr</v>
          </cell>
          <cell r="D166">
            <v>1</v>
          </cell>
          <cell r="F166">
            <v>1</v>
          </cell>
          <cell r="J166">
            <v>60.39</v>
          </cell>
          <cell r="L166">
            <v>0</v>
          </cell>
        </row>
        <row r="167">
          <cell r="B167" t="str">
            <v>Constr</v>
          </cell>
          <cell r="D167">
            <v>0</v>
          </cell>
          <cell r="F167">
            <v>1</v>
          </cell>
          <cell r="J167">
            <v>35.54</v>
          </cell>
          <cell r="L167">
            <v>0</v>
          </cell>
        </row>
        <row r="168">
          <cell r="B168" t="str">
            <v>Constr</v>
          </cell>
          <cell r="D168">
            <v>1</v>
          </cell>
          <cell r="F168">
            <v>1</v>
          </cell>
          <cell r="J168">
            <v>24.66</v>
          </cell>
          <cell r="L168">
            <v>0</v>
          </cell>
        </row>
        <row r="169">
          <cell r="B169" t="str">
            <v>Constr</v>
          </cell>
          <cell r="D169">
            <v>1</v>
          </cell>
          <cell r="F169">
            <v>1</v>
          </cell>
          <cell r="J169">
            <v>35.11</v>
          </cell>
          <cell r="L169">
            <v>0</v>
          </cell>
        </row>
        <row r="170">
          <cell r="B170" t="str">
            <v>Constr</v>
          </cell>
          <cell r="D170">
            <v>0</v>
          </cell>
          <cell r="F170">
            <v>1</v>
          </cell>
          <cell r="J170">
            <v>58.09</v>
          </cell>
          <cell r="L170">
            <v>0</v>
          </cell>
        </row>
        <row r="171">
          <cell r="B171" t="str">
            <v>Constr</v>
          </cell>
          <cell r="D171">
            <v>1</v>
          </cell>
          <cell r="F171">
            <v>1</v>
          </cell>
          <cell r="J171">
            <v>50.44</v>
          </cell>
          <cell r="L171">
            <v>0</v>
          </cell>
        </row>
        <row r="172">
          <cell r="B172" t="str">
            <v>Constr</v>
          </cell>
          <cell r="D172">
            <v>1</v>
          </cell>
          <cell r="F172">
            <v>1</v>
          </cell>
          <cell r="J172">
            <v>13.68</v>
          </cell>
          <cell r="L172">
            <v>0</v>
          </cell>
        </row>
        <row r="173">
          <cell r="B173" t="str">
            <v>Constr</v>
          </cell>
          <cell r="D173">
            <v>1</v>
          </cell>
          <cell r="F173">
            <v>1</v>
          </cell>
          <cell r="J173">
            <v>7.99</v>
          </cell>
          <cell r="L173">
            <v>0</v>
          </cell>
        </row>
        <row r="174">
          <cell r="B174" t="str">
            <v>Constr</v>
          </cell>
          <cell r="D174">
            <v>1</v>
          </cell>
          <cell r="F174">
            <v>1</v>
          </cell>
          <cell r="J174">
            <v>42.5</v>
          </cell>
          <cell r="L174">
            <v>0</v>
          </cell>
        </row>
        <row r="175">
          <cell r="B175" t="str">
            <v>Constr</v>
          </cell>
          <cell r="D175">
            <v>1</v>
          </cell>
          <cell r="F175">
            <v>1</v>
          </cell>
          <cell r="J175">
            <v>48.61</v>
          </cell>
          <cell r="L175">
            <v>0</v>
          </cell>
        </row>
        <row r="176">
          <cell r="B176" t="str">
            <v>Constr</v>
          </cell>
          <cell r="D176">
            <v>1</v>
          </cell>
          <cell r="F176">
            <v>1</v>
          </cell>
          <cell r="J176">
            <v>77.209999999999994</v>
          </cell>
          <cell r="L176">
            <v>0</v>
          </cell>
        </row>
        <row r="177">
          <cell r="B177" t="str">
            <v>Constr</v>
          </cell>
          <cell r="D177">
            <v>1</v>
          </cell>
          <cell r="F177">
            <v>0</v>
          </cell>
          <cell r="J177">
            <v>18.989999999999998</v>
          </cell>
          <cell r="L177">
            <v>0</v>
          </cell>
        </row>
        <row r="178">
          <cell r="B178" t="str">
            <v>Constr</v>
          </cell>
          <cell r="D178">
            <v>1</v>
          </cell>
          <cell r="F178">
            <v>0</v>
          </cell>
          <cell r="J178">
            <v>45.32</v>
          </cell>
          <cell r="L178">
            <v>1</v>
          </cell>
        </row>
        <row r="179">
          <cell r="B179" t="str">
            <v>Constr</v>
          </cell>
          <cell r="D179">
            <v>1</v>
          </cell>
          <cell r="F179">
            <v>1</v>
          </cell>
          <cell r="J179">
            <v>7.53</v>
          </cell>
          <cell r="L179">
            <v>1</v>
          </cell>
        </row>
        <row r="180">
          <cell r="B180" t="str">
            <v>Constr</v>
          </cell>
          <cell r="D180">
            <v>1</v>
          </cell>
          <cell r="F180">
            <v>0</v>
          </cell>
          <cell r="J180">
            <v>26.79</v>
          </cell>
          <cell r="L180">
            <v>0</v>
          </cell>
        </row>
        <row r="181">
          <cell r="B181" t="str">
            <v>Constr</v>
          </cell>
          <cell r="D181">
            <v>0</v>
          </cell>
          <cell r="F181">
            <v>0</v>
          </cell>
          <cell r="J181">
            <v>11.76</v>
          </cell>
          <cell r="L181">
            <v>0</v>
          </cell>
        </row>
        <row r="182">
          <cell r="B182" t="str">
            <v>Constr</v>
          </cell>
          <cell r="D182">
            <v>0</v>
          </cell>
          <cell r="F182">
            <v>0</v>
          </cell>
          <cell r="J182">
            <v>14.38</v>
          </cell>
          <cell r="L182">
            <v>0</v>
          </cell>
        </row>
        <row r="183">
          <cell r="B183" t="str">
            <v>Constr</v>
          </cell>
          <cell r="D183">
            <v>0</v>
          </cell>
          <cell r="F183">
            <v>1</v>
          </cell>
          <cell r="J183">
            <v>116.23</v>
          </cell>
          <cell r="L183">
            <v>0</v>
          </cell>
        </row>
        <row r="184">
          <cell r="B184" t="str">
            <v>Constr</v>
          </cell>
          <cell r="D184">
            <v>0</v>
          </cell>
          <cell r="F184">
            <v>1</v>
          </cell>
          <cell r="J184">
            <v>63.43</v>
          </cell>
          <cell r="L184">
            <v>0</v>
          </cell>
        </row>
        <row r="185">
          <cell r="B185" t="str">
            <v>Constr</v>
          </cell>
          <cell r="D185">
            <v>1</v>
          </cell>
          <cell r="F185">
            <v>1</v>
          </cell>
          <cell r="J185">
            <v>40.82</v>
          </cell>
          <cell r="L185">
            <v>0</v>
          </cell>
        </row>
        <row r="186">
          <cell r="B186" t="str">
            <v>Constr</v>
          </cell>
          <cell r="D186">
            <v>1</v>
          </cell>
          <cell r="F186">
            <v>1</v>
          </cell>
          <cell r="J186">
            <v>16.37</v>
          </cell>
          <cell r="L186">
            <v>0</v>
          </cell>
        </row>
        <row r="187">
          <cell r="B187" t="str">
            <v>Constr</v>
          </cell>
          <cell r="D187">
            <v>1</v>
          </cell>
          <cell r="F187">
            <v>1</v>
          </cell>
          <cell r="J187">
            <v>54.32</v>
          </cell>
          <cell r="L187">
            <v>0</v>
          </cell>
        </row>
        <row r="188">
          <cell r="B188" t="str">
            <v>Constr</v>
          </cell>
          <cell r="D188">
            <v>0</v>
          </cell>
          <cell r="F188">
            <v>1</v>
          </cell>
          <cell r="J188">
            <v>55.9</v>
          </cell>
          <cell r="L188">
            <v>0</v>
          </cell>
        </row>
        <row r="189">
          <cell r="B189" t="str">
            <v>Constr</v>
          </cell>
          <cell r="D189">
            <v>1</v>
          </cell>
          <cell r="F189">
            <v>0</v>
          </cell>
          <cell r="J189">
            <v>85.74</v>
          </cell>
          <cell r="L189">
            <v>0</v>
          </cell>
        </row>
        <row r="190">
          <cell r="B190" t="str">
            <v>Constr</v>
          </cell>
          <cell r="D190">
            <v>0</v>
          </cell>
          <cell r="F190">
            <v>1</v>
          </cell>
          <cell r="J190">
            <v>156.08000000000001</v>
          </cell>
          <cell r="L190">
            <v>0</v>
          </cell>
        </row>
        <row r="191">
          <cell r="B191" t="str">
            <v>Constr</v>
          </cell>
          <cell r="D191">
            <v>0</v>
          </cell>
          <cell r="F191">
            <v>0</v>
          </cell>
          <cell r="J191">
            <v>6.14</v>
          </cell>
          <cell r="L191">
            <v>0</v>
          </cell>
        </row>
        <row r="192">
          <cell r="B192" t="str">
            <v>Constr</v>
          </cell>
          <cell r="D192">
            <v>0</v>
          </cell>
          <cell r="F192">
            <v>0</v>
          </cell>
          <cell r="J192">
            <v>115.57</v>
          </cell>
          <cell r="L192">
            <v>0</v>
          </cell>
        </row>
        <row r="193">
          <cell r="B193" t="str">
            <v>Constr</v>
          </cell>
          <cell r="D193">
            <v>1</v>
          </cell>
          <cell r="F193">
            <v>0</v>
          </cell>
          <cell r="J193">
            <v>46.61</v>
          </cell>
          <cell r="L193">
            <v>1</v>
          </cell>
        </row>
        <row r="194">
          <cell r="B194" t="str">
            <v>Constr</v>
          </cell>
          <cell r="D194">
            <v>1</v>
          </cell>
          <cell r="F194">
            <v>1</v>
          </cell>
          <cell r="J194">
            <v>34.67</v>
          </cell>
          <cell r="L194">
            <v>0</v>
          </cell>
        </row>
        <row r="195">
          <cell r="B195" t="str">
            <v>Constr</v>
          </cell>
          <cell r="D195">
            <v>0</v>
          </cell>
          <cell r="F195">
            <v>1</v>
          </cell>
          <cell r="J195">
            <v>12.44</v>
          </cell>
          <cell r="L195">
            <v>1</v>
          </cell>
        </row>
        <row r="196">
          <cell r="B196" t="str">
            <v>Constr</v>
          </cell>
          <cell r="D196">
            <v>1</v>
          </cell>
          <cell r="F196">
            <v>0</v>
          </cell>
          <cell r="J196">
            <v>12.48</v>
          </cell>
          <cell r="L196">
            <v>0</v>
          </cell>
        </row>
        <row r="197">
          <cell r="B197" t="str">
            <v>Constr</v>
          </cell>
          <cell r="D197">
            <v>1</v>
          </cell>
          <cell r="F197">
            <v>0</v>
          </cell>
          <cell r="J197">
            <v>6.38</v>
          </cell>
          <cell r="L197">
            <v>0</v>
          </cell>
        </row>
        <row r="198">
          <cell r="B198" t="str">
            <v>Constr</v>
          </cell>
          <cell r="D198">
            <v>0</v>
          </cell>
          <cell r="F198">
            <v>1</v>
          </cell>
          <cell r="J198">
            <v>73.53</v>
          </cell>
          <cell r="L198">
            <v>0</v>
          </cell>
        </row>
        <row r="199">
          <cell r="B199" t="str">
            <v>Constr</v>
          </cell>
          <cell r="D199">
            <v>1</v>
          </cell>
          <cell r="F199">
            <v>1</v>
          </cell>
          <cell r="J199">
            <v>8.08</v>
          </cell>
          <cell r="L199">
            <v>1</v>
          </cell>
        </row>
        <row r="200">
          <cell r="B200" t="str">
            <v>Constr</v>
          </cell>
          <cell r="D200">
            <v>1</v>
          </cell>
          <cell r="F200">
            <v>1</v>
          </cell>
          <cell r="J200">
            <v>6.88</v>
          </cell>
          <cell r="L200">
            <v>0</v>
          </cell>
        </row>
        <row r="201">
          <cell r="B201" t="str">
            <v>Constr</v>
          </cell>
          <cell r="D201">
            <v>0</v>
          </cell>
          <cell r="F201">
            <v>0</v>
          </cell>
          <cell r="J201">
            <v>9.58</v>
          </cell>
          <cell r="L201">
            <v>1</v>
          </cell>
        </row>
      </sheetData>
      <sheetData sheetId="1"/>
      <sheetData sheetId="2"/>
      <sheetData sheetId="3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Z" refreshedDate="45992.105380555557" createdVersion="8" refreshedVersion="8" minRefreshableVersion="3" recordCount="200" xr:uid="{A4326F51-BCD9-C642-B65B-CE072FFF4DE1}">
  <cacheSource type="worksheet">
    <worksheetSource ref="A1:L201" sheet="Data"/>
  </cacheSource>
  <cacheFields count="12">
    <cacheField name="ID" numFmtId="0">
      <sharedItems/>
    </cacheField>
    <cacheField name="Sector" numFmtId="0">
      <sharedItems/>
    </cacheField>
    <cacheField name="Waste" numFmtId="0">
      <sharedItems containsSemiMixedTypes="0" containsString="0" containsNumber="1" minValue="0.21" maxValue="1670.48"/>
    </cacheField>
    <cacheField name="Waste_red" numFmtId="0">
      <sharedItems containsSemiMixedTypes="0" containsString="0" containsNumber="1" containsInteger="1" minValue="0" maxValue="1" count="2">
        <n v="0"/>
        <n v="1"/>
      </sharedItems>
    </cacheField>
    <cacheField name="Recycle" numFmtId="0">
      <sharedItems containsSemiMixedTypes="0" containsString="0" containsNumber="1" minValue="0.08" maxValue="936.31"/>
    </cacheField>
    <cacheField name="Green_In" numFmtId="0">
      <sharedItems containsSemiMixedTypes="0" containsString="0" containsNumber="1" containsInteger="1" minValue="0" maxValue="1" count="2">
        <n v="1"/>
        <n v="0"/>
      </sharedItems>
    </cacheField>
    <cacheField name="Empl" numFmtId="0">
      <sharedItems containsSemiMixedTypes="0" containsString="0" containsNumber="1" containsInteger="1" minValue="1" maxValue="1314"/>
    </cacheField>
    <cacheField name="CAPEX" numFmtId="0">
      <sharedItems containsSemiMixedTypes="0" containsString="0" containsNumber="1" minValue="1.25" maxValue="1890.59"/>
    </cacheField>
    <cacheField name="Sust_Inv" numFmtId="0">
      <sharedItems containsSemiMixedTypes="0" containsString="0" containsNumber="1" minValue="0.78" maxValue="19.52"/>
    </cacheField>
    <cacheField name="OPEX" numFmtId="0">
      <sharedItems containsSemiMixedTypes="0" containsString="0" containsNumber="1" minValue="1.92" maxValue="230.03"/>
    </cacheField>
    <cacheField name="recycle_rate" numFmtId="167">
      <sharedItems containsSemiMixedTypes="0" containsString="0" containsNumber="1" minValue="3.2136105860113423E-2" maxValue="0.82071713147410363"/>
    </cacheField>
    <cacheField name="high performer" numFmtId="0">
      <sharedItems containsSemiMixedTypes="0" containsString="0" containsNumber="1" containsInteger="1" minValue="0" maxValue="1" count="2">
        <n v="1"/>
        <n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Man1"/>
    <s v="Manuf"/>
    <n v="316.58"/>
    <x v="0"/>
    <n v="207.19"/>
    <x v="0"/>
    <n v="193"/>
    <n v="206.73"/>
    <n v="5.94"/>
    <n v="18.45"/>
    <n v="0.65446332680523089"/>
    <x v="0"/>
  </r>
  <r>
    <s v="Man2"/>
    <s v="Manuf"/>
    <n v="21.02"/>
    <x v="1"/>
    <n v="10.81"/>
    <x v="0"/>
    <n v="192"/>
    <n v="205.96"/>
    <n v="7.39"/>
    <n v="41.28"/>
    <n v="0.51427212178877268"/>
    <x v="0"/>
  </r>
  <r>
    <s v="Man3"/>
    <s v="Manuf"/>
    <n v="296.32"/>
    <x v="0"/>
    <n v="121.36"/>
    <x v="1"/>
    <n v="155"/>
    <n v="139.94999999999999"/>
    <n v="6.41"/>
    <n v="48.06"/>
    <n v="0.40955723542116629"/>
    <x v="1"/>
  </r>
  <r>
    <s v="Man4"/>
    <s v="Manuf"/>
    <n v="36.450000000000003"/>
    <x v="1"/>
    <n v="18.670000000000002"/>
    <x v="0"/>
    <n v="218"/>
    <n v="50.63"/>
    <n v="5.18"/>
    <n v="29.63"/>
    <n v="0.51220850480109736"/>
    <x v="0"/>
  </r>
  <r>
    <s v="Man5"/>
    <s v="Manuf"/>
    <n v="68.040000000000006"/>
    <x v="0"/>
    <n v="17.88"/>
    <x v="0"/>
    <n v="33"/>
    <n v="27.95"/>
    <n v="2.13"/>
    <n v="23.19"/>
    <n v="0.26278659611992944"/>
    <x v="1"/>
  </r>
  <r>
    <s v="Man6"/>
    <s v="Manuf"/>
    <n v="142.93"/>
    <x v="1"/>
    <n v="82.6"/>
    <x v="0"/>
    <n v="197"/>
    <n v="126.43"/>
    <n v="13.34"/>
    <n v="13.6"/>
    <n v="0.57790526831316025"/>
    <x v="0"/>
  </r>
  <r>
    <s v="Man7"/>
    <s v="Manuf"/>
    <n v="5.75"/>
    <x v="1"/>
    <n v="3.31"/>
    <x v="0"/>
    <n v="28"/>
    <n v="31.97"/>
    <n v="7.48"/>
    <n v="6.4"/>
    <n v="0.57565217391304346"/>
    <x v="0"/>
  </r>
  <r>
    <s v="Man8"/>
    <s v="Manuf"/>
    <n v="230.08"/>
    <x v="0"/>
    <n v="151.19999999999999"/>
    <x v="0"/>
    <n v="102"/>
    <n v="102"/>
    <n v="4.37"/>
    <n v="27.52"/>
    <n v="0.6571627260083448"/>
    <x v="0"/>
  </r>
  <r>
    <s v="Man9"/>
    <s v="Manuf"/>
    <n v="15.11"/>
    <x v="0"/>
    <n v="7.15"/>
    <x v="0"/>
    <n v="8"/>
    <n v="3.39"/>
    <n v="1.42"/>
    <n v="4.45"/>
    <n v="0.47319655857048315"/>
    <x v="1"/>
  </r>
  <r>
    <s v="Man10"/>
    <s v="Manuf"/>
    <n v="58.97"/>
    <x v="0"/>
    <n v="20.02"/>
    <x v="1"/>
    <n v="35"/>
    <n v="22.44"/>
    <n v="3.21"/>
    <n v="23.71"/>
    <n v="0.33949465830083092"/>
    <x v="1"/>
  </r>
  <r>
    <s v="Man11"/>
    <s v="Manuf"/>
    <n v="11.99"/>
    <x v="0"/>
    <n v="7.53"/>
    <x v="1"/>
    <n v="7"/>
    <n v="5.25"/>
    <n v="2.59"/>
    <n v="3.77"/>
    <n v="0.62802335279399502"/>
    <x v="0"/>
  </r>
  <r>
    <s v="Man12"/>
    <s v="Manuf"/>
    <n v="119.71"/>
    <x v="0"/>
    <n v="31.86"/>
    <x v="1"/>
    <n v="35"/>
    <n v="24.72"/>
    <n v="2.38"/>
    <n v="13.62"/>
    <n v="0.26614317935009607"/>
    <x v="1"/>
  </r>
  <r>
    <s v="Man13"/>
    <s v="Manuf"/>
    <n v="11.7"/>
    <x v="1"/>
    <n v="6.03"/>
    <x v="0"/>
    <n v="3"/>
    <n v="9.6300000000000008"/>
    <n v="4.54"/>
    <n v="3.75"/>
    <n v="0.51538461538461544"/>
    <x v="0"/>
  </r>
  <r>
    <s v="Man14"/>
    <s v="Manuf"/>
    <n v="325.02"/>
    <x v="1"/>
    <n v="137.44999999999999"/>
    <x v="1"/>
    <n v="175"/>
    <n v="184.59"/>
    <n v="5.67"/>
    <n v="68.98"/>
    <n v="0.42289705248907761"/>
    <x v="1"/>
  </r>
  <r>
    <s v="Man15"/>
    <s v="Manuf"/>
    <n v="325.07"/>
    <x v="0"/>
    <n v="206.07"/>
    <x v="0"/>
    <n v="185"/>
    <n v="80.73"/>
    <n v="3.72"/>
    <n v="25.55"/>
    <n v="0.63392500076906511"/>
    <x v="0"/>
  </r>
  <r>
    <s v="Man16"/>
    <s v="Manuf"/>
    <n v="111.16"/>
    <x v="0"/>
    <n v="48.64"/>
    <x v="0"/>
    <n v="34"/>
    <n v="23.74"/>
    <n v="2.08"/>
    <n v="13.87"/>
    <n v="0.43756747031306226"/>
    <x v="1"/>
  </r>
  <r>
    <s v="Man17"/>
    <s v="Manuf"/>
    <n v="197.39"/>
    <x v="0"/>
    <n v="55.02"/>
    <x v="0"/>
    <n v="105"/>
    <n v="163.27000000000001"/>
    <n v="4.2300000000000004"/>
    <n v="15.01"/>
    <n v="0.27873752469729979"/>
    <x v="1"/>
  </r>
  <r>
    <s v="Man18"/>
    <s v="Manuf"/>
    <n v="224.34"/>
    <x v="1"/>
    <n v="97.94"/>
    <x v="1"/>
    <n v="89"/>
    <n v="166.84"/>
    <n v="3.29"/>
    <n v="69.680000000000007"/>
    <n v="0.43656949273424267"/>
    <x v="1"/>
  </r>
  <r>
    <s v="Man19"/>
    <s v="Manuf"/>
    <n v="226.54"/>
    <x v="1"/>
    <n v="123.13"/>
    <x v="1"/>
    <n v="59"/>
    <n v="192.32"/>
    <n v="8.09"/>
    <n v="30.46"/>
    <n v="0.54352432241546744"/>
    <x v="0"/>
  </r>
  <r>
    <s v="Man20"/>
    <s v="Manuf"/>
    <n v="1670.48"/>
    <x v="0"/>
    <n v="936.31"/>
    <x v="0"/>
    <n v="1081"/>
    <n v="565.77"/>
    <n v="8.9499999999999993"/>
    <n v="101.31"/>
    <n v="0.56050356783678934"/>
    <x v="0"/>
  </r>
  <r>
    <s v="Man21"/>
    <s v="Manuf"/>
    <n v="19.05"/>
    <x v="0"/>
    <n v="3.58"/>
    <x v="0"/>
    <n v="4"/>
    <n v="10.97"/>
    <n v="2.67"/>
    <n v="4.6900000000000004"/>
    <n v="0.1879265091863517"/>
    <x v="1"/>
  </r>
  <r>
    <s v="Man22"/>
    <s v="Manuf"/>
    <n v="264.23"/>
    <x v="1"/>
    <n v="133.54"/>
    <x v="0"/>
    <n v="164"/>
    <n v="91.99"/>
    <n v="9.85"/>
    <n v="27.07"/>
    <n v="0.50539302880066606"/>
    <x v="0"/>
  </r>
  <r>
    <s v="Man23"/>
    <s v="Manuf"/>
    <n v="34.25"/>
    <x v="1"/>
    <n v="19.8"/>
    <x v="1"/>
    <n v="97"/>
    <n v="143.66999999999999"/>
    <n v="3.72"/>
    <n v="52.86"/>
    <n v="0.5781021897810219"/>
    <x v="0"/>
  </r>
  <r>
    <s v="Man24"/>
    <s v="Manuf"/>
    <n v="291.63"/>
    <x v="0"/>
    <n v="77.58"/>
    <x v="0"/>
    <n v="64"/>
    <n v="50.36"/>
    <n v="3.04"/>
    <n v="13.33"/>
    <n v="0.26602201419607036"/>
    <x v="1"/>
  </r>
  <r>
    <s v="Man25"/>
    <s v="Manuf"/>
    <n v="48.31"/>
    <x v="1"/>
    <n v="11.17"/>
    <x v="0"/>
    <n v="31"/>
    <n v="34.68"/>
    <n v="4.59"/>
    <n v="18.670000000000002"/>
    <n v="0.23121506934382113"/>
    <x v="1"/>
  </r>
  <r>
    <s v="Man26"/>
    <s v="Manuf"/>
    <n v="392.83"/>
    <x v="0"/>
    <n v="159.19"/>
    <x v="0"/>
    <n v="140"/>
    <n v="114.87"/>
    <n v="5.95"/>
    <n v="34.659999999999997"/>
    <n v="0.40523890741542146"/>
    <x v="1"/>
  </r>
  <r>
    <s v="Man27"/>
    <s v="Manuf"/>
    <n v="1251.02"/>
    <x v="0"/>
    <n v="180.08"/>
    <x v="1"/>
    <n v="1314"/>
    <n v="496.15"/>
    <n v="6.89"/>
    <n v="173.91"/>
    <n v="0.1439465396236671"/>
    <x v="1"/>
  </r>
  <r>
    <s v="Man28"/>
    <s v="Manuf"/>
    <n v="15.33"/>
    <x v="1"/>
    <n v="9.4499999999999993"/>
    <x v="1"/>
    <n v="8"/>
    <n v="1.25"/>
    <n v="2.74"/>
    <n v="2.33"/>
    <n v="0.61643835616438347"/>
    <x v="0"/>
  </r>
  <r>
    <s v="Man29"/>
    <s v="Manuf"/>
    <n v="12.86"/>
    <x v="1"/>
    <n v="6.97"/>
    <x v="1"/>
    <n v="181"/>
    <n v="20.55"/>
    <n v="6.2"/>
    <n v="15.9"/>
    <n v="0.5419906687402799"/>
    <x v="0"/>
  </r>
  <r>
    <s v="Man30"/>
    <s v="Manuf"/>
    <n v="8.94"/>
    <x v="1"/>
    <n v="2.0099999999999998"/>
    <x v="0"/>
    <n v="807"/>
    <n v="805.64"/>
    <n v="12.02"/>
    <n v="102.97"/>
    <n v="0.22483221476510065"/>
    <x v="1"/>
  </r>
  <r>
    <s v="Man31"/>
    <s v="Manuf"/>
    <n v="11.67"/>
    <x v="1"/>
    <n v="7.64"/>
    <x v="0"/>
    <n v="5"/>
    <n v="4.2"/>
    <n v="2.35"/>
    <n v="2.95"/>
    <n v="0.6546700942587832"/>
    <x v="0"/>
  </r>
  <r>
    <s v="Man32"/>
    <s v="Manuf"/>
    <n v="62.75"/>
    <x v="1"/>
    <n v="39.6"/>
    <x v="0"/>
    <n v="25"/>
    <n v="32.71"/>
    <n v="2.96"/>
    <n v="23.36"/>
    <n v="0.63107569721115542"/>
    <x v="0"/>
  </r>
  <r>
    <s v="Man33"/>
    <s v="Manuf"/>
    <n v="17.52"/>
    <x v="0"/>
    <n v="10.65"/>
    <x v="0"/>
    <n v="7"/>
    <n v="4.5599999999999996"/>
    <n v="1.67"/>
    <n v="2.11"/>
    <n v="0.60787671232876717"/>
    <x v="0"/>
  </r>
  <r>
    <s v="Man34"/>
    <s v="Manuf"/>
    <n v="14.76"/>
    <x v="1"/>
    <n v="4.04"/>
    <x v="1"/>
    <n v="4"/>
    <n v="7.38"/>
    <n v="2.2400000000000002"/>
    <n v="3.96"/>
    <n v="0.27371273712737126"/>
    <x v="1"/>
  </r>
  <r>
    <s v="Man35"/>
    <s v="Manuf"/>
    <n v="172.78"/>
    <x v="0"/>
    <n v="51.89"/>
    <x v="0"/>
    <n v="173"/>
    <n v="138.94999999999999"/>
    <n v="6.51"/>
    <n v="31.42"/>
    <n v="0.30032411158698924"/>
    <x v="1"/>
  </r>
  <r>
    <s v="Man36"/>
    <s v="Manuf"/>
    <n v="123.7"/>
    <x v="0"/>
    <n v="78.47"/>
    <x v="1"/>
    <n v="99"/>
    <n v="95.16"/>
    <n v="3.82"/>
    <n v="47.49"/>
    <n v="0.63435731608730794"/>
    <x v="0"/>
  </r>
  <r>
    <s v="Man37"/>
    <s v="Manuf"/>
    <n v="191.04"/>
    <x v="0"/>
    <n v="55.82"/>
    <x v="1"/>
    <n v="179"/>
    <n v="88.55"/>
    <n v="3.08"/>
    <n v="46.49"/>
    <n v="0.29219011725293131"/>
    <x v="1"/>
  </r>
  <r>
    <s v="Man38"/>
    <s v="Manuf"/>
    <n v="176.18"/>
    <x v="0"/>
    <n v="50.11"/>
    <x v="1"/>
    <n v="91"/>
    <n v="130.16"/>
    <n v="5.4"/>
    <n v="69.44"/>
    <n v="0.28442501986604607"/>
    <x v="1"/>
  </r>
  <r>
    <s v="Man39"/>
    <s v="Manuf"/>
    <n v="1131.6300000000001"/>
    <x v="0"/>
    <n v="690.31"/>
    <x v="0"/>
    <n v="555"/>
    <n v="907.3"/>
    <n v="8.98"/>
    <n v="69.81"/>
    <n v="0.61001387379267069"/>
    <x v="0"/>
  </r>
  <r>
    <s v="Man40"/>
    <s v="Manuf"/>
    <n v="16.18"/>
    <x v="1"/>
    <n v="5.58"/>
    <x v="0"/>
    <n v="7"/>
    <n v="8.5"/>
    <n v="2.44"/>
    <n v="3.93"/>
    <n v="0.34487021013597036"/>
    <x v="1"/>
  </r>
  <r>
    <s v="Man41"/>
    <s v="Manuf"/>
    <n v="93.26"/>
    <x v="1"/>
    <n v="9.32"/>
    <x v="0"/>
    <n v="48"/>
    <n v="213.2"/>
    <n v="5.13"/>
    <n v="31.8"/>
    <n v="9.9935663735792407E-2"/>
    <x v="1"/>
  </r>
  <r>
    <s v="Man42"/>
    <s v="Manuf"/>
    <n v="200.48"/>
    <x v="0"/>
    <n v="84.9"/>
    <x v="0"/>
    <n v="50"/>
    <n v="105.61"/>
    <n v="8.5299999999999994"/>
    <n v="16.63"/>
    <n v="0.42348363926576221"/>
    <x v="1"/>
  </r>
  <r>
    <s v="Man43"/>
    <s v="Manuf"/>
    <n v="76.38"/>
    <x v="1"/>
    <n v="28.5"/>
    <x v="1"/>
    <n v="132"/>
    <n v="68.14"/>
    <n v="5.13"/>
    <n v="24.82"/>
    <n v="0.37313432835820898"/>
    <x v="1"/>
  </r>
  <r>
    <s v="Man44"/>
    <s v="Manuf"/>
    <n v="75.78"/>
    <x v="0"/>
    <n v="30.39"/>
    <x v="0"/>
    <n v="55"/>
    <n v="192.49"/>
    <n v="4.5199999999999996"/>
    <n v="21.79"/>
    <n v="0.40102929532858272"/>
    <x v="1"/>
  </r>
  <r>
    <s v="Man45"/>
    <s v="Manuf"/>
    <n v="15.43"/>
    <x v="1"/>
    <n v="4.84"/>
    <x v="0"/>
    <n v="11"/>
    <n v="8.51"/>
    <n v="5.18"/>
    <n v="3.15"/>
    <n v="0.31367465975372649"/>
    <x v="1"/>
  </r>
  <r>
    <s v="Man46"/>
    <s v="Manuf"/>
    <n v="253.24"/>
    <x v="1"/>
    <n v="179.11"/>
    <x v="1"/>
    <n v="99"/>
    <n v="91.14"/>
    <n v="6.26"/>
    <n v="26.19"/>
    <n v="0.70727373242773661"/>
    <x v="0"/>
  </r>
  <r>
    <s v="Man47"/>
    <s v="Manuf"/>
    <n v="585.57000000000005"/>
    <x v="1"/>
    <n v="284.68"/>
    <x v="1"/>
    <n v="1162"/>
    <n v="644.63"/>
    <n v="11.79"/>
    <n v="69.790000000000006"/>
    <n v="0.48615878545690522"/>
    <x v="1"/>
  </r>
  <r>
    <s v="Man48"/>
    <s v="Manuf"/>
    <n v="23.01"/>
    <x v="0"/>
    <n v="13.09"/>
    <x v="1"/>
    <n v="8"/>
    <n v="11.35"/>
    <n v="2.36"/>
    <n v="5.86"/>
    <n v="0.56888309430682305"/>
    <x v="0"/>
  </r>
  <r>
    <s v="Man49"/>
    <s v="Manuf"/>
    <n v="34.479999999999997"/>
    <x v="0"/>
    <n v="10.15"/>
    <x v="0"/>
    <n v="40"/>
    <n v="31.58"/>
    <n v="4.47"/>
    <n v="26.01"/>
    <n v="0.29437354988399078"/>
    <x v="1"/>
  </r>
  <r>
    <s v="Man50"/>
    <s v="Manuf"/>
    <n v="46.59"/>
    <x v="0"/>
    <n v="37.26"/>
    <x v="1"/>
    <n v="24"/>
    <n v="33.86"/>
    <n v="2.76"/>
    <n v="12.42"/>
    <n v="0.79974243399871203"/>
    <x v="0"/>
  </r>
  <r>
    <s v="Man51"/>
    <s v="Manuf"/>
    <n v="219.28"/>
    <x v="0"/>
    <n v="83.64"/>
    <x v="0"/>
    <n v="159"/>
    <n v="144.22"/>
    <n v="6.79"/>
    <n v="60.55"/>
    <n v="0.38143013498723094"/>
    <x v="1"/>
  </r>
  <r>
    <s v="Man52"/>
    <s v="Manuf"/>
    <n v="80.34"/>
    <x v="0"/>
    <n v="41.55"/>
    <x v="1"/>
    <n v="18"/>
    <n v="30.85"/>
    <n v="2.54"/>
    <n v="11.26"/>
    <n v="0.51717699775952197"/>
    <x v="0"/>
  </r>
  <r>
    <s v="Man53"/>
    <s v="Manuf"/>
    <n v="21.65"/>
    <x v="0"/>
    <n v="16.34"/>
    <x v="0"/>
    <n v="5"/>
    <n v="4.87"/>
    <n v="3.76"/>
    <n v="4.33"/>
    <n v="0.75473441108545036"/>
    <x v="0"/>
  </r>
  <r>
    <s v="Man54"/>
    <s v="Manuf"/>
    <n v="96.25"/>
    <x v="1"/>
    <n v="16.920000000000002"/>
    <x v="0"/>
    <n v="172"/>
    <n v="167.76"/>
    <n v="10.88"/>
    <n v="24.37"/>
    <n v="0.17579220779220781"/>
    <x v="1"/>
  </r>
  <r>
    <s v="Man55"/>
    <s v="Manuf"/>
    <n v="11.86"/>
    <x v="1"/>
    <n v="6.07"/>
    <x v="1"/>
    <n v="4"/>
    <n v="8.51"/>
    <n v="2.0699999999999998"/>
    <n v="5.04"/>
    <n v="0.51180438448566612"/>
    <x v="0"/>
  </r>
  <r>
    <s v="Man56"/>
    <s v="Manuf"/>
    <n v="14.56"/>
    <x v="0"/>
    <n v="5.21"/>
    <x v="1"/>
    <n v="32"/>
    <n v="21.17"/>
    <n v="2.14"/>
    <n v="6.19"/>
    <n v="0.35782967032967034"/>
    <x v="1"/>
  </r>
  <r>
    <s v="Man57"/>
    <s v="Manuf"/>
    <n v="22.19"/>
    <x v="0"/>
    <n v="5.05"/>
    <x v="0"/>
    <n v="25"/>
    <n v="35.32"/>
    <n v="4.26"/>
    <n v="23.87"/>
    <n v="0.22757999098693102"/>
    <x v="1"/>
  </r>
  <r>
    <s v="Man58"/>
    <s v="Manuf"/>
    <n v="46.57"/>
    <x v="0"/>
    <n v="17.25"/>
    <x v="1"/>
    <n v="184"/>
    <n v="111.35"/>
    <n v="8.59"/>
    <n v="19.89"/>
    <n v="0.37041013528022332"/>
    <x v="1"/>
  </r>
  <r>
    <s v="Man59"/>
    <s v="Manuf"/>
    <n v="151.44"/>
    <x v="1"/>
    <n v="50.49"/>
    <x v="0"/>
    <n v="228"/>
    <n v="179.01"/>
    <n v="7.61"/>
    <n v="35.229999999999997"/>
    <n v="0.33339936608557846"/>
    <x v="1"/>
  </r>
  <r>
    <s v="Man60"/>
    <s v="Manuf"/>
    <n v="17.28"/>
    <x v="1"/>
    <n v="5.34"/>
    <x v="0"/>
    <n v="8"/>
    <n v="8.91"/>
    <n v="1.67"/>
    <n v="6.64"/>
    <n v="0.30902777777777773"/>
    <x v="1"/>
  </r>
  <r>
    <s v="Tr1"/>
    <s v="Transp"/>
    <n v="790.36"/>
    <x v="0"/>
    <n v="492.08"/>
    <x v="1"/>
    <n v="953"/>
    <n v="828.58"/>
    <n v="10.33"/>
    <n v="96.98"/>
    <n v="0.62260235841894829"/>
    <x v="0"/>
  </r>
  <r>
    <s v="Tr2"/>
    <s v="Transp"/>
    <n v="1.36"/>
    <x v="1"/>
    <n v="0.62"/>
    <x v="0"/>
    <n v="7"/>
    <n v="11.94"/>
    <n v="3.01"/>
    <n v="4.1100000000000003"/>
    <n v="0.45588235294117646"/>
    <x v="1"/>
  </r>
  <r>
    <s v="Tr3"/>
    <s v="Transp"/>
    <n v="7.3"/>
    <x v="0"/>
    <n v="4.3099999999999996"/>
    <x v="0"/>
    <n v="3"/>
    <n v="8.6199999999999992"/>
    <n v="3.02"/>
    <n v="2.4500000000000002"/>
    <n v="0.59041095890410955"/>
    <x v="0"/>
  </r>
  <r>
    <s v="Tr4"/>
    <s v="Transp"/>
    <n v="7.58"/>
    <x v="0"/>
    <n v="5.89"/>
    <x v="0"/>
    <n v="7"/>
    <n v="6.52"/>
    <n v="1.73"/>
    <n v="7"/>
    <n v="0.7770448548812664"/>
    <x v="0"/>
  </r>
  <r>
    <s v="Tr5"/>
    <s v="Transp"/>
    <n v="133.16"/>
    <x v="0"/>
    <n v="42.04"/>
    <x v="0"/>
    <n v="150"/>
    <n v="190.43"/>
    <n v="5.23"/>
    <n v="18.940000000000001"/>
    <n v="0.31571042355061579"/>
    <x v="1"/>
  </r>
  <r>
    <s v="Tr6"/>
    <s v="Transp"/>
    <n v="143.97999999999999"/>
    <x v="0"/>
    <n v="63.11"/>
    <x v="1"/>
    <n v="131"/>
    <n v="222.49"/>
    <n v="6.4"/>
    <n v="18.07"/>
    <n v="0.43832476732879572"/>
    <x v="1"/>
  </r>
  <r>
    <s v="Tr7"/>
    <s v="Transp"/>
    <n v="857.23"/>
    <x v="0"/>
    <n v="458.14"/>
    <x v="0"/>
    <n v="898"/>
    <n v="996.42"/>
    <n v="10.19"/>
    <n v="94.3"/>
    <n v="0.53444233169627753"/>
    <x v="0"/>
  </r>
  <r>
    <s v="Tr8"/>
    <s v="Transp"/>
    <n v="76.23"/>
    <x v="0"/>
    <n v="52.97"/>
    <x v="0"/>
    <n v="36"/>
    <n v="38.42"/>
    <n v="2.41"/>
    <n v="10.119999999999999"/>
    <n v="0.6948707857798766"/>
    <x v="0"/>
  </r>
  <r>
    <s v="Tr9"/>
    <s v="Transp"/>
    <n v="131.44"/>
    <x v="1"/>
    <n v="68.95"/>
    <x v="0"/>
    <n v="156"/>
    <n v="266.14"/>
    <n v="11.74"/>
    <n v="23.12"/>
    <n v="0.52457395009129648"/>
    <x v="0"/>
  </r>
  <r>
    <s v="Tr10"/>
    <s v="Transp"/>
    <n v="64.319999999999993"/>
    <x v="0"/>
    <n v="21.51"/>
    <x v="0"/>
    <n v="144"/>
    <n v="47.75"/>
    <n v="4.41"/>
    <n v="37.200000000000003"/>
    <n v="0.33442164179104483"/>
    <x v="1"/>
  </r>
  <r>
    <s v="Tr11"/>
    <s v="Transp"/>
    <n v="40.479999999999997"/>
    <x v="1"/>
    <n v="14.25"/>
    <x v="0"/>
    <n v="37"/>
    <n v="17.420000000000002"/>
    <n v="5.87"/>
    <n v="4.4400000000000004"/>
    <n v="0.35202569169960479"/>
    <x v="1"/>
  </r>
  <r>
    <s v="Tr12"/>
    <s v="Transp"/>
    <n v="128.55000000000001"/>
    <x v="0"/>
    <n v="103.18"/>
    <x v="1"/>
    <n v="311"/>
    <n v="73.47"/>
    <n v="3.61"/>
    <n v="32.06"/>
    <n v="0.80264488525865418"/>
    <x v="0"/>
  </r>
  <r>
    <s v="Tr13"/>
    <s v="Transp"/>
    <n v="141.52000000000001"/>
    <x v="1"/>
    <n v="59.32"/>
    <x v="0"/>
    <n v="173"/>
    <n v="215.39"/>
    <n v="7.49"/>
    <n v="18.690000000000001"/>
    <n v="0.41916336913510455"/>
    <x v="1"/>
  </r>
  <r>
    <s v="Tr14"/>
    <s v="Transp"/>
    <n v="765.17"/>
    <x v="0"/>
    <n v="408.94"/>
    <x v="0"/>
    <n v="703"/>
    <n v="1100.9100000000001"/>
    <n v="15.4"/>
    <n v="77.16"/>
    <n v="0.53444332631964142"/>
    <x v="0"/>
  </r>
  <r>
    <s v="Tr15"/>
    <s v="Transp"/>
    <n v="3.74"/>
    <x v="0"/>
    <n v="1.26"/>
    <x v="0"/>
    <n v="4"/>
    <n v="10.85"/>
    <n v="1.1200000000000001"/>
    <n v="8.06"/>
    <n v="0.33689839572192509"/>
    <x v="1"/>
  </r>
  <r>
    <s v="Tr16"/>
    <s v="Transp"/>
    <n v="57.61"/>
    <x v="0"/>
    <n v="25.43"/>
    <x v="0"/>
    <n v="37"/>
    <n v="25.16"/>
    <n v="3.45"/>
    <n v="13.15"/>
    <n v="0.44141642076028464"/>
    <x v="1"/>
  </r>
  <r>
    <s v="Tr17"/>
    <s v="Transp"/>
    <n v="38.630000000000003"/>
    <x v="1"/>
    <n v="19.8"/>
    <x v="0"/>
    <n v="23"/>
    <n v="26.18"/>
    <n v="2.95"/>
    <n v="23.28"/>
    <n v="0.51255500906031581"/>
    <x v="0"/>
  </r>
  <r>
    <s v="Tr18"/>
    <s v="Transp"/>
    <n v="98.06"/>
    <x v="1"/>
    <n v="51.94"/>
    <x v="1"/>
    <n v="87"/>
    <n v="158.25"/>
    <n v="6.51"/>
    <n v="58.62"/>
    <n v="0.52967570874974501"/>
    <x v="0"/>
  </r>
  <r>
    <s v="Tr19"/>
    <s v="Transp"/>
    <n v="1.33"/>
    <x v="1"/>
    <n v="0.95"/>
    <x v="0"/>
    <n v="5"/>
    <n v="2.61"/>
    <n v="2.97"/>
    <n v="2"/>
    <n v="0.71428571428571419"/>
    <x v="0"/>
  </r>
  <r>
    <s v="Tr20"/>
    <s v="Transp"/>
    <n v="40.22"/>
    <x v="1"/>
    <n v="11.91"/>
    <x v="1"/>
    <n v="38"/>
    <n v="33.71"/>
    <n v="5.04"/>
    <n v="9.8699999999999992"/>
    <n v="0.29612133267031326"/>
    <x v="1"/>
  </r>
  <r>
    <s v="Tr21"/>
    <s v="Transp"/>
    <n v="9.02"/>
    <x v="0"/>
    <n v="4.43"/>
    <x v="0"/>
    <n v="4"/>
    <n v="8.48"/>
    <n v="3.09"/>
    <n v="4.24"/>
    <n v="0.4911308203991131"/>
    <x v="1"/>
  </r>
  <r>
    <s v="Tr22"/>
    <s v="Transp"/>
    <n v="114.85"/>
    <x v="1"/>
    <n v="69.98"/>
    <x v="1"/>
    <n v="279"/>
    <n v="155.91999999999999"/>
    <n v="6.3"/>
    <n v="16.63"/>
    <n v="0.60931649978232483"/>
    <x v="0"/>
  </r>
  <r>
    <s v="Tr23"/>
    <s v="Transp"/>
    <n v="104.84"/>
    <x v="0"/>
    <n v="52.49"/>
    <x v="0"/>
    <n v="109"/>
    <n v="262.86"/>
    <n v="5.41"/>
    <n v="38.200000000000003"/>
    <n v="0.50066768409004192"/>
    <x v="0"/>
  </r>
  <r>
    <s v="Tr24"/>
    <s v="Transp"/>
    <n v="61.93"/>
    <x v="0"/>
    <n v="31.37"/>
    <x v="0"/>
    <n v="25"/>
    <n v="30.91"/>
    <n v="3.34"/>
    <n v="10.66"/>
    <n v="0.50653964153076059"/>
    <x v="0"/>
  </r>
  <r>
    <s v="Tr25"/>
    <s v="Transp"/>
    <n v="117.58"/>
    <x v="0"/>
    <n v="51.06"/>
    <x v="1"/>
    <n v="166"/>
    <n v="308.55"/>
    <n v="3.89"/>
    <n v="50.65"/>
    <n v="0.43425752679027046"/>
    <x v="1"/>
  </r>
  <r>
    <s v="Tr26"/>
    <s v="Transp"/>
    <n v="111.8"/>
    <x v="0"/>
    <n v="80.66"/>
    <x v="0"/>
    <n v="259"/>
    <n v="109.06"/>
    <n v="4.1500000000000004"/>
    <n v="48.32"/>
    <n v="0.72146690518783541"/>
    <x v="0"/>
  </r>
  <r>
    <s v="Tr27"/>
    <s v="Transp"/>
    <n v="6.13"/>
    <x v="0"/>
    <n v="2.29"/>
    <x v="1"/>
    <n v="6"/>
    <n v="8.16"/>
    <n v="2.2400000000000002"/>
    <n v="3.39"/>
    <n v="0.37357259380097879"/>
    <x v="1"/>
  </r>
  <r>
    <s v="Tr28"/>
    <s v="Transp"/>
    <n v="24.69"/>
    <x v="1"/>
    <n v="9.56"/>
    <x v="0"/>
    <n v="26"/>
    <n v="37.6"/>
    <n v="6.48"/>
    <n v="9.58"/>
    <n v="0.3872012960712839"/>
    <x v="1"/>
  </r>
  <r>
    <s v="Tr29"/>
    <s v="Transp"/>
    <n v="35.21"/>
    <x v="1"/>
    <n v="23.87"/>
    <x v="0"/>
    <n v="198"/>
    <n v="332.65"/>
    <n v="6.31"/>
    <n v="36.15"/>
    <n v="0.67793240556660039"/>
    <x v="0"/>
  </r>
  <r>
    <s v="Tr30"/>
    <s v="Transp"/>
    <n v="751.96"/>
    <x v="0"/>
    <n v="399.74"/>
    <x v="0"/>
    <n v="816"/>
    <n v="159.43"/>
    <n v="5.84"/>
    <n v="65.569999999999993"/>
    <n v="0.53159742539496779"/>
    <x v="0"/>
  </r>
  <r>
    <s v="Tr31"/>
    <s v="Transp"/>
    <n v="15.01"/>
    <x v="0"/>
    <n v="5.84"/>
    <x v="1"/>
    <n v="6"/>
    <n v="5.4"/>
    <n v="1.21"/>
    <n v="7.12"/>
    <n v="0.38907395069953365"/>
    <x v="1"/>
  </r>
  <r>
    <s v="Tr32"/>
    <s v="Transp"/>
    <n v="7.58"/>
    <x v="0"/>
    <n v="2.82"/>
    <x v="0"/>
    <n v="7"/>
    <n v="7.32"/>
    <n v="2.8"/>
    <n v="5.26"/>
    <n v="0.37203166226912926"/>
    <x v="1"/>
  </r>
  <r>
    <s v="Tr33"/>
    <s v="Transp"/>
    <n v="70.2"/>
    <x v="0"/>
    <n v="43.4"/>
    <x v="0"/>
    <n v="29"/>
    <n v="30.68"/>
    <n v="2.89"/>
    <n v="17.97"/>
    <n v="0.61823361823361822"/>
    <x v="0"/>
  </r>
  <r>
    <s v="Tr34"/>
    <s v="Transp"/>
    <n v="16.440000000000001"/>
    <x v="0"/>
    <n v="6.93"/>
    <x v="1"/>
    <n v="6"/>
    <n v="6.84"/>
    <n v="1.59"/>
    <n v="6.2"/>
    <n v="0.42153284671532842"/>
    <x v="1"/>
  </r>
  <r>
    <s v="Tr35"/>
    <s v="Transp"/>
    <n v="62.62"/>
    <x v="0"/>
    <n v="30.59"/>
    <x v="1"/>
    <n v="192"/>
    <n v="353.06"/>
    <n v="7.22"/>
    <n v="75.86"/>
    <n v="0.48850207601405304"/>
    <x v="1"/>
  </r>
  <r>
    <s v="Tr36"/>
    <s v="Transp"/>
    <n v="83.78"/>
    <x v="0"/>
    <n v="14.58"/>
    <x v="0"/>
    <n v="211"/>
    <n v="197.04"/>
    <n v="3.6"/>
    <n v="44.95"/>
    <n v="0.17402721413225114"/>
    <x v="1"/>
  </r>
  <r>
    <s v="Tr37"/>
    <s v="Transp"/>
    <n v="140.24"/>
    <x v="0"/>
    <n v="51.24"/>
    <x v="1"/>
    <n v="177"/>
    <n v="239.41"/>
    <n v="4.54"/>
    <n v="34.270000000000003"/>
    <n v="0.36537364517969195"/>
    <x v="1"/>
  </r>
  <r>
    <s v="Tr38"/>
    <s v="Transp"/>
    <n v="37.229999999999997"/>
    <x v="1"/>
    <n v="22.47"/>
    <x v="0"/>
    <n v="32"/>
    <n v="29.95"/>
    <n v="6.76"/>
    <n v="8.4499999999999993"/>
    <n v="0.60354552780016113"/>
    <x v="0"/>
  </r>
  <r>
    <s v="Tr39"/>
    <s v="Transp"/>
    <n v="8.93"/>
    <x v="0"/>
    <n v="4.55"/>
    <x v="1"/>
    <n v="11"/>
    <n v="9.5"/>
    <n v="1.61"/>
    <n v="2.71"/>
    <n v="0.50951847704367303"/>
    <x v="0"/>
  </r>
  <r>
    <s v="Tr40"/>
    <s v="Transp"/>
    <n v="41.73"/>
    <x v="0"/>
    <n v="28.45"/>
    <x v="1"/>
    <n v="28"/>
    <n v="25.78"/>
    <n v="1.73"/>
    <n v="11.59"/>
    <n v="0.68176371914689671"/>
    <x v="0"/>
  </r>
  <r>
    <s v="Tr41"/>
    <s v="Transp"/>
    <n v="8.5299999999999994"/>
    <x v="1"/>
    <n v="3.31"/>
    <x v="0"/>
    <n v="8"/>
    <n v="7.43"/>
    <n v="2.2599999999999998"/>
    <n v="5.43"/>
    <n v="0.38804220398593203"/>
    <x v="1"/>
  </r>
  <r>
    <s v="Tr42"/>
    <s v="Transp"/>
    <n v="9.5399999999999991"/>
    <x v="0"/>
    <n v="5.33"/>
    <x v="0"/>
    <n v="3"/>
    <n v="12.88"/>
    <n v="2.97"/>
    <n v="2.54"/>
    <n v="0.55870020964360589"/>
    <x v="0"/>
  </r>
  <r>
    <s v="Tr43"/>
    <s v="Transp"/>
    <n v="43.52"/>
    <x v="0"/>
    <n v="23.42"/>
    <x v="1"/>
    <n v="29"/>
    <n v="29.07"/>
    <n v="4.03"/>
    <n v="11.94"/>
    <n v="0.53814338235294112"/>
    <x v="0"/>
  </r>
  <r>
    <s v="Tr44"/>
    <s v="Transp"/>
    <n v="140.35"/>
    <x v="0"/>
    <n v="6.58"/>
    <x v="0"/>
    <n v="277"/>
    <n v="263.93"/>
    <n v="5.54"/>
    <n v="50.89"/>
    <n v="4.6882793017456362E-2"/>
    <x v="1"/>
  </r>
  <r>
    <s v="Tr45"/>
    <s v="Transp"/>
    <n v="136.13999999999999"/>
    <x v="0"/>
    <n v="75.260000000000005"/>
    <x v="0"/>
    <n v="188"/>
    <n v="123.37"/>
    <n v="5.47"/>
    <n v="39.409999999999997"/>
    <n v="0.55281328044659916"/>
    <x v="0"/>
  </r>
  <r>
    <s v="Tr46"/>
    <s v="Transp"/>
    <n v="19.29"/>
    <x v="0"/>
    <n v="15.26"/>
    <x v="0"/>
    <n v="174"/>
    <n v="160.04"/>
    <n v="4.04"/>
    <n v="25.47"/>
    <n v="0.79108346293416276"/>
    <x v="0"/>
  </r>
  <r>
    <s v="Tr47"/>
    <s v="Transp"/>
    <n v="12.46"/>
    <x v="0"/>
    <n v="8.9"/>
    <x v="1"/>
    <n v="11"/>
    <n v="9.27"/>
    <n v="2.11"/>
    <n v="7.41"/>
    <n v="0.7142857142857143"/>
    <x v="0"/>
  </r>
  <r>
    <s v="Tr48"/>
    <s v="Transp"/>
    <n v="39.770000000000003"/>
    <x v="0"/>
    <n v="26.36"/>
    <x v="0"/>
    <n v="24"/>
    <n v="284.76"/>
    <n v="6.1"/>
    <n v="51.09"/>
    <n v="0.66281116419411612"/>
    <x v="0"/>
  </r>
  <r>
    <s v="Tr49"/>
    <s v="Transp"/>
    <n v="3.17"/>
    <x v="0"/>
    <n v="2.16"/>
    <x v="0"/>
    <n v="6"/>
    <n v="6.42"/>
    <n v="1.41"/>
    <n v="3.25"/>
    <n v="0.68138801261829662"/>
    <x v="0"/>
  </r>
  <r>
    <s v="Tr50"/>
    <s v="Transp"/>
    <n v="86.56"/>
    <x v="0"/>
    <n v="52.15"/>
    <x v="0"/>
    <n v="101"/>
    <n v="234.87"/>
    <n v="5.77"/>
    <n v="40.64"/>
    <n v="0.60247227356746758"/>
    <x v="0"/>
  </r>
  <r>
    <s v="Tr51"/>
    <s v="Transp"/>
    <n v="429.43"/>
    <x v="1"/>
    <n v="267.92"/>
    <x v="0"/>
    <n v="902"/>
    <n v="977.06"/>
    <n v="17.46"/>
    <n v="66.33"/>
    <n v="0.62389679342384097"/>
    <x v="0"/>
  </r>
  <r>
    <s v="Tr52"/>
    <s v="Transp"/>
    <n v="97.67"/>
    <x v="0"/>
    <n v="72.25"/>
    <x v="0"/>
    <n v="68"/>
    <n v="264.14999999999998"/>
    <n v="9.77"/>
    <n v="19.13"/>
    <n v="0.73973584519299684"/>
    <x v="0"/>
  </r>
  <r>
    <s v="Tr53"/>
    <s v="Transp"/>
    <n v="703.01"/>
    <x v="0"/>
    <n v="369.15"/>
    <x v="1"/>
    <n v="728"/>
    <n v="196.32"/>
    <n v="4.79"/>
    <n v="64.540000000000006"/>
    <n v="0.52509921622736511"/>
    <x v="0"/>
  </r>
  <r>
    <s v="Tr54"/>
    <s v="Transp"/>
    <n v="90.47"/>
    <x v="0"/>
    <n v="37.81"/>
    <x v="0"/>
    <n v="201"/>
    <n v="183.65"/>
    <n v="4.03"/>
    <n v="30.41"/>
    <n v="0.41792859511440261"/>
    <x v="1"/>
  </r>
  <r>
    <s v="Tr55"/>
    <s v="Transp"/>
    <n v="120.95"/>
    <x v="0"/>
    <n v="42.64"/>
    <x v="1"/>
    <n v="321"/>
    <n v="110.7"/>
    <n v="4.17"/>
    <n v="29.98"/>
    <n v="0.35254237288135593"/>
    <x v="1"/>
  </r>
  <r>
    <s v="Tr56"/>
    <s v="Transp"/>
    <n v="143.99"/>
    <x v="0"/>
    <n v="83.56"/>
    <x v="0"/>
    <n v="844"/>
    <n v="723.68"/>
    <n v="4.1100000000000003"/>
    <n v="201.92"/>
    <n v="0.58031807764428078"/>
    <x v="0"/>
  </r>
  <r>
    <s v="Tr57"/>
    <s v="Transp"/>
    <n v="34.72"/>
    <x v="0"/>
    <n v="17.3"/>
    <x v="1"/>
    <n v="35"/>
    <n v="37.44"/>
    <n v="3.62"/>
    <n v="15.5"/>
    <n v="0.49827188940092171"/>
    <x v="1"/>
  </r>
  <r>
    <s v="Tr58"/>
    <s v="Transp"/>
    <n v="7.18"/>
    <x v="0"/>
    <n v="4.83"/>
    <x v="1"/>
    <n v="6"/>
    <n v="4.3499999999999996"/>
    <n v="2.17"/>
    <n v="1.95"/>
    <n v="0.67270194986072429"/>
    <x v="0"/>
  </r>
  <r>
    <s v="Tr59"/>
    <s v="Transp"/>
    <n v="13.75"/>
    <x v="0"/>
    <n v="11.17"/>
    <x v="1"/>
    <n v="5"/>
    <n v="12.25"/>
    <n v="2.16"/>
    <n v="7.84"/>
    <n v="0.8123636363636364"/>
    <x v="0"/>
  </r>
  <r>
    <s v="Tr60"/>
    <s v="Transp"/>
    <n v="580.96"/>
    <x v="1"/>
    <n v="264.83999999999997"/>
    <x v="1"/>
    <n v="875"/>
    <n v="1890.59"/>
    <n v="19.52"/>
    <n v="124.17"/>
    <n v="0.45586615257504814"/>
    <x v="1"/>
  </r>
  <r>
    <s v="Tr61"/>
    <s v="Transp"/>
    <n v="133.13"/>
    <x v="1"/>
    <n v="98.39"/>
    <x v="0"/>
    <n v="151"/>
    <n v="209.83"/>
    <n v="5.38"/>
    <n v="39.909999999999997"/>
    <n v="0.73905205438293398"/>
    <x v="0"/>
  </r>
  <r>
    <s v="Tr62"/>
    <s v="Transp"/>
    <n v="179.86"/>
    <x v="0"/>
    <n v="86.75"/>
    <x v="1"/>
    <n v="224"/>
    <n v="265.2"/>
    <n v="5.54"/>
    <n v="55.16"/>
    <n v="0.482319581897031"/>
    <x v="1"/>
  </r>
  <r>
    <s v="Tr63"/>
    <s v="Transp"/>
    <n v="6.92"/>
    <x v="0"/>
    <n v="4.05"/>
    <x v="1"/>
    <n v="3"/>
    <n v="7.37"/>
    <n v="1.2"/>
    <n v="2.06"/>
    <n v="0.58526011560693636"/>
    <x v="0"/>
  </r>
  <r>
    <s v="Tr64"/>
    <s v="Transp"/>
    <n v="10.66"/>
    <x v="0"/>
    <n v="6.5"/>
    <x v="0"/>
    <n v="4"/>
    <n v="7.28"/>
    <n v="1.84"/>
    <n v="5.89"/>
    <n v="0.6097560975609756"/>
    <x v="0"/>
  </r>
  <r>
    <s v="Tr65"/>
    <s v="Transp"/>
    <n v="91.07"/>
    <x v="1"/>
    <n v="52.09"/>
    <x v="0"/>
    <n v="336"/>
    <n v="220.76"/>
    <n v="7.46"/>
    <n v="39.54"/>
    <n v="0.57197759964862205"/>
    <x v="0"/>
  </r>
  <r>
    <s v="Tr66"/>
    <s v="Transp"/>
    <n v="1.42"/>
    <x v="1"/>
    <n v="1.1499999999999999"/>
    <x v="0"/>
    <n v="8"/>
    <n v="1.47"/>
    <n v="1.57"/>
    <n v="2.31"/>
    <n v="0.8098591549295775"/>
    <x v="0"/>
  </r>
  <r>
    <s v="Tr67"/>
    <s v="Transp"/>
    <n v="2.5099999999999998"/>
    <x v="0"/>
    <n v="1.31"/>
    <x v="1"/>
    <n v="4"/>
    <n v="7.71"/>
    <n v="1.51"/>
    <n v="5.08"/>
    <n v="0.52191235059760965"/>
    <x v="0"/>
  </r>
  <r>
    <s v="Tr68"/>
    <s v="Transp"/>
    <n v="7.17"/>
    <x v="0"/>
    <n v="4.62"/>
    <x v="0"/>
    <n v="6"/>
    <n v="7.33"/>
    <n v="2.66"/>
    <n v="3.8"/>
    <n v="0.64435146443514646"/>
    <x v="0"/>
  </r>
  <r>
    <s v="Tr69"/>
    <s v="Transp"/>
    <n v="605.73"/>
    <x v="0"/>
    <n v="179.89"/>
    <x v="1"/>
    <n v="1068"/>
    <n v="729.32"/>
    <n v="7.12"/>
    <n v="124.47"/>
    <n v="0.29698050286431243"/>
    <x v="1"/>
  </r>
  <r>
    <s v="Tr70"/>
    <s v="Transp"/>
    <n v="4.95"/>
    <x v="0"/>
    <n v="3.1"/>
    <x v="0"/>
    <n v="4"/>
    <n v="6.09"/>
    <n v="3.77"/>
    <n v="1.92"/>
    <n v="0.6262626262626263"/>
    <x v="0"/>
  </r>
  <r>
    <s v="Tr71"/>
    <s v="Transp"/>
    <n v="173.01"/>
    <x v="0"/>
    <n v="48.41"/>
    <x v="0"/>
    <n v="235"/>
    <n v="231.19"/>
    <n v="6.64"/>
    <n v="48.55"/>
    <n v="0.27981041558291425"/>
    <x v="1"/>
  </r>
  <r>
    <s v="Tr72"/>
    <s v="Transp"/>
    <n v="83.32"/>
    <x v="0"/>
    <n v="61.46"/>
    <x v="0"/>
    <n v="136"/>
    <n v="166.01"/>
    <n v="6.14"/>
    <n v="38.57"/>
    <n v="0.73763802208353346"/>
    <x v="0"/>
  </r>
  <r>
    <s v="Tr73"/>
    <s v="Transp"/>
    <n v="122.71"/>
    <x v="0"/>
    <n v="74.540000000000006"/>
    <x v="0"/>
    <n v="167"/>
    <n v="137.02000000000001"/>
    <n v="4.91"/>
    <n v="25.07"/>
    <n v="0.6074484557085813"/>
    <x v="0"/>
  </r>
  <r>
    <s v="Tr74"/>
    <s v="Transp"/>
    <n v="15.38"/>
    <x v="0"/>
    <n v="4.84"/>
    <x v="0"/>
    <n v="29"/>
    <n v="31.34"/>
    <n v="5.32"/>
    <n v="22.04"/>
    <n v="0.31469440832249673"/>
    <x v="1"/>
  </r>
  <r>
    <s v="Tr75"/>
    <s v="Transp"/>
    <n v="102.54"/>
    <x v="1"/>
    <n v="52.8"/>
    <x v="0"/>
    <n v="247"/>
    <n v="253.75"/>
    <n v="8.67"/>
    <n v="13.01"/>
    <n v="0.51492100643651251"/>
    <x v="0"/>
  </r>
  <r>
    <s v="Tr76"/>
    <s v="Transp"/>
    <n v="116.1"/>
    <x v="0"/>
    <n v="42.69"/>
    <x v="0"/>
    <n v="305"/>
    <n v="134.28"/>
    <n v="9.64"/>
    <n v="13.48"/>
    <n v="0.3677002583979328"/>
    <x v="1"/>
  </r>
  <r>
    <s v="Tr77"/>
    <s v="Transp"/>
    <n v="101.01"/>
    <x v="1"/>
    <n v="72.61"/>
    <x v="1"/>
    <n v="258"/>
    <n v="128.97"/>
    <n v="5.69"/>
    <n v="25.51"/>
    <n v="0.71883971883971876"/>
    <x v="0"/>
  </r>
  <r>
    <s v="Tr78"/>
    <s v="Transp"/>
    <n v="224.12"/>
    <x v="0"/>
    <n v="112.21"/>
    <x v="0"/>
    <n v="188"/>
    <n v="165.49"/>
    <n v="5.07"/>
    <n v="36.22"/>
    <n v="0.50066928431197566"/>
    <x v="0"/>
  </r>
  <r>
    <s v="Tr79"/>
    <s v="Transp"/>
    <n v="106.54"/>
    <x v="0"/>
    <n v="81.099999999999994"/>
    <x v="0"/>
    <n v="263"/>
    <n v="174.91"/>
    <n v="5.4"/>
    <n v="30.51"/>
    <n v="0.76121644452787673"/>
    <x v="0"/>
  </r>
  <r>
    <s v="Tr80"/>
    <s v="Transp"/>
    <n v="150.55000000000001"/>
    <x v="0"/>
    <n v="57.07"/>
    <x v="0"/>
    <n v="148"/>
    <n v="201.46"/>
    <n v="6.59"/>
    <n v="33.409999999999997"/>
    <n v="0.37907671869810694"/>
    <x v="1"/>
  </r>
  <r>
    <s v="Tr81"/>
    <s v="Transp"/>
    <n v="63.12"/>
    <x v="1"/>
    <n v="36.5"/>
    <x v="0"/>
    <n v="40"/>
    <n v="19.600000000000001"/>
    <n v="4.25"/>
    <n v="14.75"/>
    <n v="0.57826362484157168"/>
    <x v="0"/>
  </r>
  <r>
    <s v="Tr82"/>
    <s v="Transp"/>
    <n v="110.44"/>
    <x v="0"/>
    <n v="85.42"/>
    <x v="0"/>
    <n v="19"/>
    <n v="264.11"/>
    <n v="4.8"/>
    <n v="10.55"/>
    <n v="0.77345164795363996"/>
    <x v="0"/>
  </r>
  <r>
    <s v="Tr83"/>
    <s v="Transp"/>
    <n v="0.21"/>
    <x v="0"/>
    <n v="0.08"/>
    <x v="1"/>
    <n v="11"/>
    <n v="5.51"/>
    <n v="2.14"/>
    <n v="5.41"/>
    <n v="0.38095238095238099"/>
    <x v="1"/>
  </r>
  <r>
    <s v="Tr84"/>
    <s v="Transp"/>
    <n v="104.16"/>
    <x v="0"/>
    <n v="55.14"/>
    <x v="0"/>
    <n v="274"/>
    <n v="76.290000000000006"/>
    <n v="6.44"/>
    <n v="13.08"/>
    <n v="0.52937788018433185"/>
    <x v="0"/>
  </r>
  <r>
    <s v="Con1"/>
    <s v="Constr"/>
    <n v="12.31"/>
    <x v="1"/>
    <n v="5.96"/>
    <x v="0"/>
    <n v="5"/>
    <n v="7.69"/>
    <n v="5.84"/>
    <n v="3.37"/>
    <n v="0.48415922014622254"/>
    <x v="1"/>
  </r>
  <r>
    <s v="Con2"/>
    <s v="Constr"/>
    <n v="100.9"/>
    <x v="0"/>
    <n v="51.65"/>
    <x v="1"/>
    <n v="27"/>
    <n v="29"/>
    <n v="3.38"/>
    <n v="15.68"/>
    <n v="0.51189296333002965"/>
    <x v="0"/>
  </r>
  <r>
    <s v="Con3"/>
    <s v="Constr"/>
    <n v="98.25"/>
    <x v="0"/>
    <n v="33.61"/>
    <x v="0"/>
    <n v="28"/>
    <n v="24.13"/>
    <n v="1.84"/>
    <n v="37.299999999999997"/>
    <n v="0.34208651399491091"/>
    <x v="1"/>
  </r>
  <r>
    <s v="Con4"/>
    <s v="Constr"/>
    <n v="106.36"/>
    <x v="0"/>
    <n v="18.62"/>
    <x v="0"/>
    <n v="221"/>
    <n v="115.95"/>
    <n v="5.67"/>
    <n v="43.9"/>
    <n v="0.17506581421587064"/>
    <x v="1"/>
  </r>
  <r>
    <s v="Con5"/>
    <s v="Constr"/>
    <n v="239.75"/>
    <x v="1"/>
    <n v="58.41"/>
    <x v="0"/>
    <n v="187"/>
    <n v="143.36000000000001"/>
    <n v="5.41"/>
    <n v="78.48"/>
    <n v="0.24362877997914492"/>
    <x v="1"/>
  </r>
  <r>
    <s v="Con6"/>
    <s v="Constr"/>
    <n v="45.51"/>
    <x v="0"/>
    <n v="21.39"/>
    <x v="0"/>
    <n v="25"/>
    <n v="30.4"/>
    <n v="3.54"/>
    <n v="35.97"/>
    <n v="0.47000659195781153"/>
    <x v="1"/>
  </r>
  <r>
    <s v="Con7"/>
    <s v="Constr"/>
    <n v="95.22"/>
    <x v="1"/>
    <n v="3.06"/>
    <x v="1"/>
    <n v="68"/>
    <n v="163.13"/>
    <n v="4.1100000000000003"/>
    <n v="51.58"/>
    <n v="3.2136105860113423E-2"/>
    <x v="1"/>
  </r>
  <r>
    <s v="Con8"/>
    <s v="Constr"/>
    <n v="114.42"/>
    <x v="1"/>
    <n v="43.66"/>
    <x v="1"/>
    <n v="142"/>
    <n v="198.81"/>
    <n v="4.75"/>
    <n v="75.27"/>
    <n v="0.38157664743925884"/>
    <x v="1"/>
  </r>
  <r>
    <s v="Con9"/>
    <s v="Constr"/>
    <n v="15.01"/>
    <x v="1"/>
    <n v="4.3099999999999996"/>
    <x v="1"/>
    <n v="3"/>
    <n v="5.5"/>
    <n v="2.14"/>
    <n v="8.5500000000000007"/>
    <n v="0.28714190539640239"/>
    <x v="1"/>
  </r>
  <r>
    <s v="Con10"/>
    <s v="Constr"/>
    <n v="143.16999999999999"/>
    <x v="0"/>
    <n v="66.040000000000006"/>
    <x v="0"/>
    <n v="129"/>
    <n v="106"/>
    <n v="8.3699999999999992"/>
    <n v="75.930000000000007"/>
    <n v="0.46126981909617948"/>
    <x v="1"/>
  </r>
  <r>
    <s v="Con11"/>
    <s v="Constr"/>
    <n v="119.56"/>
    <x v="1"/>
    <n v="45.03"/>
    <x v="0"/>
    <n v="166"/>
    <n v="132.07"/>
    <n v="9.1"/>
    <n v="38.94"/>
    <n v="0.37663098026095687"/>
    <x v="1"/>
  </r>
  <r>
    <s v="Con12"/>
    <s v="Constr"/>
    <n v="20.100000000000001"/>
    <x v="0"/>
    <n v="8.3800000000000008"/>
    <x v="0"/>
    <n v="10"/>
    <n v="8.99"/>
    <n v="1.57"/>
    <n v="15.43"/>
    <n v="0.41691542288557215"/>
    <x v="1"/>
  </r>
  <r>
    <s v="Con13"/>
    <s v="Constr"/>
    <n v="34.64"/>
    <x v="0"/>
    <n v="11.4"/>
    <x v="0"/>
    <n v="135"/>
    <n v="106.62"/>
    <n v="5.2"/>
    <n v="84.22"/>
    <n v="0.32909930715935337"/>
    <x v="1"/>
  </r>
  <r>
    <s v="Con14"/>
    <s v="Constr"/>
    <n v="20.36"/>
    <x v="0"/>
    <n v="9.84"/>
    <x v="0"/>
    <n v="7"/>
    <n v="7.94"/>
    <n v="2.81"/>
    <n v="9.32"/>
    <n v="0.48330058939096265"/>
    <x v="1"/>
  </r>
  <r>
    <s v="Con15"/>
    <s v="Constr"/>
    <n v="189.69"/>
    <x v="0"/>
    <n v="107.33"/>
    <x v="0"/>
    <n v="1211"/>
    <n v="904.14"/>
    <n v="16.329999999999998"/>
    <n v="230.03"/>
    <n v="0.56581791343771415"/>
    <x v="0"/>
  </r>
  <r>
    <s v="Con16"/>
    <s v="Constr"/>
    <n v="252.76"/>
    <x v="1"/>
    <n v="137.63"/>
    <x v="1"/>
    <n v="187"/>
    <n v="100.92"/>
    <n v="5.76"/>
    <n v="70.069999999999993"/>
    <n v="0.54450862478240225"/>
    <x v="0"/>
  </r>
  <r>
    <s v="Con17"/>
    <s v="Constr"/>
    <n v="20.350000000000001"/>
    <x v="0"/>
    <n v="9.93"/>
    <x v="0"/>
    <n v="8"/>
    <n v="5.3"/>
    <n v="2.65"/>
    <n v="11.12"/>
    <n v="0.48796068796068792"/>
    <x v="1"/>
  </r>
  <r>
    <s v="Con18"/>
    <s v="Constr"/>
    <n v="312.04000000000002"/>
    <x v="0"/>
    <n v="60.53"/>
    <x v="0"/>
    <n v="112"/>
    <n v="145.38999999999999"/>
    <n v="7.45"/>
    <n v="81.66"/>
    <n v="0.19398154082809896"/>
    <x v="1"/>
  </r>
  <r>
    <s v="Con19"/>
    <s v="Constr"/>
    <n v="13.39"/>
    <x v="1"/>
    <n v="6.34"/>
    <x v="0"/>
    <n v="12"/>
    <n v="7.16"/>
    <n v="3.1"/>
    <n v="11.36"/>
    <n v="0.47348767737117248"/>
    <x v="1"/>
  </r>
  <r>
    <s v="Con20"/>
    <s v="Constr"/>
    <n v="15.69"/>
    <x v="1"/>
    <n v="4.7"/>
    <x v="0"/>
    <n v="1"/>
    <n v="7.15"/>
    <n v="3.08"/>
    <n v="4.78"/>
    <n v="0.29955385595920969"/>
    <x v="1"/>
  </r>
  <r>
    <s v="Con21"/>
    <s v="Constr"/>
    <n v="148.4"/>
    <x v="1"/>
    <n v="42.76"/>
    <x v="0"/>
    <n v="86"/>
    <n v="300.38"/>
    <n v="7.24"/>
    <n v="60.39"/>
    <n v="0.28814016172506735"/>
    <x v="1"/>
  </r>
  <r>
    <s v="Con22"/>
    <s v="Constr"/>
    <n v="42.13"/>
    <x v="0"/>
    <n v="20.3"/>
    <x v="0"/>
    <n v="27"/>
    <n v="27.86"/>
    <n v="2.59"/>
    <n v="35.54"/>
    <n v="0.48184191787324948"/>
    <x v="1"/>
  </r>
  <r>
    <s v="Con23"/>
    <s v="Constr"/>
    <n v="60.16"/>
    <x v="1"/>
    <n v="17.82"/>
    <x v="0"/>
    <n v="28"/>
    <n v="30.84"/>
    <n v="5.93"/>
    <n v="24.66"/>
    <n v="0.29621010638297873"/>
    <x v="1"/>
  </r>
  <r>
    <s v="Con24"/>
    <s v="Constr"/>
    <n v="190.42"/>
    <x v="1"/>
    <n v="64.2"/>
    <x v="0"/>
    <n v="87"/>
    <n v="134.62"/>
    <n v="6.07"/>
    <n v="35.11"/>
    <n v="0.3371494590904317"/>
    <x v="1"/>
  </r>
  <r>
    <s v="Con25"/>
    <s v="Constr"/>
    <n v="164.52"/>
    <x v="0"/>
    <n v="55.85"/>
    <x v="0"/>
    <n v="106"/>
    <n v="133.68"/>
    <n v="4.41"/>
    <n v="58.09"/>
    <n v="0.33947240457087285"/>
    <x v="1"/>
  </r>
  <r>
    <s v="Con26"/>
    <s v="Constr"/>
    <n v="172.38"/>
    <x v="1"/>
    <n v="41.43"/>
    <x v="0"/>
    <n v="35"/>
    <n v="118.75"/>
    <n v="5.46"/>
    <n v="50.44"/>
    <n v="0.24034110685694396"/>
    <x v="1"/>
  </r>
  <r>
    <s v="Con27"/>
    <s v="Constr"/>
    <n v="14.35"/>
    <x v="1"/>
    <n v="6.72"/>
    <x v="0"/>
    <n v="8"/>
    <n v="7.32"/>
    <n v="2.21"/>
    <n v="13.68"/>
    <n v="0.46829268292682924"/>
    <x v="1"/>
  </r>
  <r>
    <s v="Con28"/>
    <s v="Constr"/>
    <n v="12.28"/>
    <x v="1"/>
    <n v="4.17"/>
    <x v="0"/>
    <n v="4"/>
    <n v="10.44"/>
    <n v="2.58"/>
    <n v="7.99"/>
    <n v="0.33957654723127034"/>
    <x v="1"/>
  </r>
  <r>
    <s v="Con29"/>
    <s v="Constr"/>
    <n v="278.39"/>
    <x v="1"/>
    <n v="80.150000000000006"/>
    <x v="0"/>
    <n v="71"/>
    <n v="139.29"/>
    <n v="5.97"/>
    <n v="42.5"/>
    <n v="0.28790545637415138"/>
    <x v="1"/>
  </r>
  <r>
    <s v="Con30"/>
    <s v="Constr"/>
    <n v="176.01"/>
    <x v="1"/>
    <n v="76.790000000000006"/>
    <x v="0"/>
    <n v="47"/>
    <n v="134.38"/>
    <n v="4.7"/>
    <n v="48.61"/>
    <n v="0.43628202943014605"/>
    <x v="1"/>
  </r>
  <r>
    <s v="Con31"/>
    <s v="Constr"/>
    <n v="210.62"/>
    <x v="1"/>
    <n v="66.39"/>
    <x v="0"/>
    <n v="135"/>
    <n v="241.17"/>
    <n v="8.3000000000000007"/>
    <n v="77.209999999999994"/>
    <n v="0.31521223055740194"/>
    <x v="1"/>
  </r>
  <r>
    <s v="Con32"/>
    <s v="Constr"/>
    <n v="47.17"/>
    <x v="1"/>
    <n v="10.07"/>
    <x v="1"/>
    <n v="36"/>
    <n v="34.14"/>
    <n v="6.05"/>
    <n v="18.989999999999998"/>
    <n v="0.21348314606741572"/>
    <x v="1"/>
  </r>
  <r>
    <s v="Con33"/>
    <s v="Constr"/>
    <n v="79.11"/>
    <x v="1"/>
    <n v="41.02"/>
    <x v="1"/>
    <n v="117"/>
    <n v="177.39"/>
    <n v="5.95"/>
    <n v="45.32"/>
    <n v="0.5185185185185186"/>
    <x v="0"/>
  </r>
  <r>
    <s v="Con34"/>
    <s v="Constr"/>
    <n v="15.74"/>
    <x v="1"/>
    <n v="8.3000000000000007"/>
    <x v="0"/>
    <n v="10"/>
    <n v="5.93"/>
    <n v="2.25"/>
    <n v="7.53"/>
    <n v="0.52731893265565444"/>
    <x v="0"/>
  </r>
  <r>
    <s v="Con35"/>
    <s v="Constr"/>
    <n v="79.23"/>
    <x v="1"/>
    <n v="33.590000000000003"/>
    <x v="1"/>
    <n v="43"/>
    <n v="28.04"/>
    <n v="2.61"/>
    <n v="26.79"/>
    <n v="0.42395557238419795"/>
    <x v="1"/>
  </r>
  <r>
    <s v="Con36"/>
    <s v="Constr"/>
    <n v="26.68"/>
    <x v="0"/>
    <n v="4.7"/>
    <x v="1"/>
    <n v="9"/>
    <n v="3.88"/>
    <n v="0.87"/>
    <n v="11.76"/>
    <n v="0.17616191904047976"/>
    <x v="1"/>
  </r>
  <r>
    <s v="Con37"/>
    <s v="Constr"/>
    <n v="19.47"/>
    <x v="0"/>
    <n v="8.08"/>
    <x v="1"/>
    <n v="6"/>
    <n v="12.01"/>
    <n v="1.1000000000000001"/>
    <n v="14.38"/>
    <n v="0.41499743194658451"/>
    <x v="1"/>
  </r>
  <r>
    <s v="Con38"/>
    <s v="Constr"/>
    <n v="90.13"/>
    <x v="0"/>
    <n v="43.04"/>
    <x v="0"/>
    <n v="220"/>
    <n v="184.72"/>
    <n v="4.5999999999999996"/>
    <n v="116.23"/>
    <n v="0.47753245312326642"/>
    <x v="1"/>
  </r>
  <r>
    <s v="Con39"/>
    <s v="Constr"/>
    <n v="266.36"/>
    <x v="0"/>
    <n v="112.72"/>
    <x v="0"/>
    <n v="70"/>
    <n v="234.61"/>
    <n v="4.4000000000000004"/>
    <n v="63.43"/>
    <n v="0.423186664664364"/>
    <x v="1"/>
  </r>
  <r>
    <s v="Con40"/>
    <s v="Constr"/>
    <n v="44.49"/>
    <x v="1"/>
    <n v="19.7"/>
    <x v="0"/>
    <n v="108"/>
    <n v="198.41"/>
    <n v="6.93"/>
    <n v="40.82"/>
    <n v="0.44279613396268819"/>
    <x v="1"/>
  </r>
  <r>
    <s v="Con41"/>
    <s v="Constr"/>
    <n v="89.26"/>
    <x v="1"/>
    <n v="18.23"/>
    <x v="0"/>
    <n v="20"/>
    <n v="37.590000000000003"/>
    <n v="4.4000000000000004"/>
    <n v="16.37"/>
    <n v="0.20423481962805287"/>
    <x v="1"/>
  </r>
  <r>
    <s v="Con42"/>
    <s v="Constr"/>
    <n v="63.61"/>
    <x v="1"/>
    <n v="26.45"/>
    <x v="0"/>
    <n v="111"/>
    <n v="135.80000000000001"/>
    <n v="5.97"/>
    <n v="54.32"/>
    <n v="0.41581512340826915"/>
    <x v="1"/>
  </r>
  <r>
    <s v="Con43"/>
    <s v="Constr"/>
    <n v="385.71"/>
    <x v="0"/>
    <n v="159.33000000000001"/>
    <x v="0"/>
    <n v="133"/>
    <n v="139.68"/>
    <n v="4.62"/>
    <n v="55.9"/>
    <n v="0.41308236758186206"/>
    <x v="1"/>
  </r>
  <r>
    <s v="Con44"/>
    <s v="Constr"/>
    <n v="251.63"/>
    <x v="1"/>
    <n v="45.57"/>
    <x v="1"/>
    <n v="176"/>
    <n v="84.97"/>
    <n v="4.95"/>
    <n v="85.74"/>
    <n v="0.18109923300083455"/>
    <x v="1"/>
  </r>
  <r>
    <s v="Con45"/>
    <s v="Constr"/>
    <n v="325.33999999999997"/>
    <x v="0"/>
    <n v="141.82"/>
    <x v="0"/>
    <n v="673"/>
    <n v="1204.3699999999999"/>
    <n v="10.79"/>
    <n v="156.08000000000001"/>
    <n v="0.43591319850003074"/>
    <x v="1"/>
  </r>
  <r>
    <s v="Con46"/>
    <s v="Constr"/>
    <n v="16.62"/>
    <x v="0"/>
    <n v="8.1300000000000008"/>
    <x v="1"/>
    <n v="5"/>
    <n v="2.21"/>
    <n v="0.78"/>
    <n v="6.14"/>
    <n v="0.48916967509025272"/>
    <x v="1"/>
  </r>
  <r>
    <s v="Con47"/>
    <s v="Constr"/>
    <n v="455.08"/>
    <x v="0"/>
    <n v="66.510000000000005"/>
    <x v="1"/>
    <n v="13"/>
    <n v="168.51"/>
    <n v="1.54"/>
    <n v="115.57"/>
    <n v="0.14615012745011868"/>
    <x v="1"/>
  </r>
  <r>
    <s v="Con48"/>
    <s v="Constr"/>
    <n v="239.73"/>
    <x v="1"/>
    <n v="123.21"/>
    <x v="1"/>
    <n v="148"/>
    <n v="77.510000000000005"/>
    <n v="4.4000000000000004"/>
    <n v="46.61"/>
    <n v="0.51395319734701539"/>
    <x v="0"/>
  </r>
  <r>
    <s v="Con49"/>
    <s v="Constr"/>
    <n v="163.89"/>
    <x v="1"/>
    <n v="57.35"/>
    <x v="0"/>
    <n v="107"/>
    <n v="120.17"/>
    <n v="5.23"/>
    <n v="34.67"/>
    <n v="0.34992983098419678"/>
    <x v="1"/>
  </r>
  <r>
    <s v="Con50"/>
    <s v="Constr"/>
    <n v="12.63"/>
    <x v="0"/>
    <n v="8.8699999999999992"/>
    <x v="0"/>
    <n v="7"/>
    <n v="13.14"/>
    <n v="1.74"/>
    <n v="12.44"/>
    <n v="0.70229612034837674"/>
    <x v="0"/>
  </r>
  <r>
    <s v="Con51"/>
    <s v="Constr"/>
    <n v="116.43"/>
    <x v="1"/>
    <n v="28.45"/>
    <x v="1"/>
    <n v="32"/>
    <n v="24.45"/>
    <n v="5.78"/>
    <n v="12.48"/>
    <n v="0.24435283002662542"/>
    <x v="1"/>
  </r>
  <r>
    <s v="Con52"/>
    <s v="Constr"/>
    <n v="17.78"/>
    <x v="1"/>
    <n v="7.63"/>
    <x v="1"/>
    <n v="5"/>
    <n v="9.51"/>
    <n v="3.52"/>
    <n v="6.38"/>
    <n v="0.42913385826771649"/>
    <x v="1"/>
  </r>
  <r>
    <s v="Con53"/>
    <s v="Constr"/>
    <n v="241.56"/>
    <x v="0"/>
    <n v="90.73"/>
    <x v="0"/>
    <n v="75"/>
    <n v="141.80000000000001"/>
    <n v="7.21"/>
    <n v="73.53"/>
    <n v="0.37560026494452725"/>
    <x v="1"/>
  </r>
  <r>
    <s v="Con54"/>
    <s v="Constr"/>
    <n v="14.55"/>
    <x v="1"/>
    <n v="10.07"/>
    <x v="0"/>
    <n v="2"/>
    <n v="10.35"/>
    <n v="2.81"/>
    <n v="8.08"/>
    <n v="0.69209621993127146"/>
    <x v="0"/>
  </r>
  <r>
    <s v="Con55"/>
    <s v="Constr"/>
    <n v="13.69"/>
    <x v="1"/>
    <n v="6.83"/>
    <x v="0"/>
    <n v="8"/>
    <n v="6.18"/>
    <n v="4.01"/>
    <n v="6.88"/>
    <n v="0.49890430971512056"/>
    <x v="1"/>
  </r>
  <r>
    <s v="Con56"/>
    <s v="Constr"/>
    <n v="20.079999999999998"/>
    <x v="0"/>
    <n v="16.48"/>
    <x v="1"/>
    <n v="3"/>
    <n v="5.75"/>
    <n v="1.33"/>
    <n v="9.58"/>
    <n v="0.8207171314741036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2A34B1-7630-6941-8935-AEB0F0E72F28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Yes/No" colHeaderCaption="Participates (Yes/No)">
  <location ref="A20:D24" firstHeaderRow="1" firstDataRow="2" firstDataCol="1"/>
  <pivotFields count="12">
    <pivotField dataField="1"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numFmtId="167" showAll="0"/>
    <pivotField axis="axisRow" showAll="0">
      <items count="3">
        <item x="1"/>
        <item x="0"/>
        <item t="default"/>
      </items>
    </pivotField>
  </pivotFields>
  <rowFields count="1">
    <field x="11"/>
  </rowFields>
  <rowItems count="3">
    <i>
      <x/>
    </i>
    <i>
      <x v="1"/>
    </i>
    <i t="grand">
      <x/>
    </i>
  </rowItems>
  <colFields count="1">
    <field x="5"/>
  </colFields>
  <colItems count="3">
    <i>
      <x/>
    </i>
    <i>
      <x v="1"/>
    </i>
    <i t="grand">
      <x/>
    </i>
  </colItems>
  <dataFields count="1">
    <dataField name="High-performer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10C128-3393-124F-961E-E2A40F91388E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Yes/No" colHeaderCaption="Participates (Yes/No)">
  <location ref="A5:D9" firstHeaderRow="1" firstDataRow="2" firstDataCol="1"/>
  <pivotFields count="12">
    <pivotField dataField="1"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umFmtId="167" showAll="0"/>
    <pivotField axis="axisRow" showAll="0">
      <items count="3">
        <item x="1"/>
        <item x="0"/>
        <item t="default"/>
      </items>
    </pivotField>
  </pivotFields>
  <rowFields count="1">
    <field x="11"/>
  </rowFields>
  <rowItems count="3">
    <i>
      <x/>
    </i>
    <i>
      <x v="1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High-performer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8AD5A-B898-2643-9ED2-7F0687340F5F}">
  <dimension ref="A1:O201"/>
  <sheetViews>
    <sheetView tabSelected="1" topLeftCell="I1" workbookViewId="0">
      <selection activeCell="O1" sqref="O1"/>
    </sheetView>
  </sheetViews>
  <sheetFormatPr baseColWidth="10" defaultRowHeight="16" x14ac:dyDescent="0.2"/>
  <sheetData>
    <row r="1" spans="1:15" ht="5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214</v>
      </c>
      <c r="L1" t="s">
        <v>215</v>
      </c>
      <c r="O1" s="24" t="s">
        <v>278</v>
      </c>
    </row>
    <row r="2" spans="1:15" x14ac:dyDescent="0.2">
      <c r="A2" t="s">
        <v>10</v>
      </c>
      <c r="B2" t="s">
        <v>11</v>
      </c>
      <c r="C2">
        <v>316.58</v>
      </c>
      <c r="D2">
        <v>0</v>
      </c>
      <c r="E2">
        <v>207.19</v>
      </c>
      <c r="F2">
        <v>1</v>
      </c>
      <c r="G2">
        <v>193</v>
      </c>
      <c r="H2">
        <v>206.73</v>
      </c>
      <c r="I2">
        <v>5.94</v>
      </c>
      <c r="J2">
        <v>18.45</v>
      </c>
      <c r="K2" s="2">
        <f>E2/C2</f>
        <v>0.65446332680523089</v>
      </c>
      <c r="L2">
        <f>IF(K2&gt;0.5,1,0)</f>
        <v>1</v>
      </c>
    </row>
    <row r="3" spans="1:15" x14ac:dyDescent="0.2">
      <c r="A3" t="s">
        <v>12</v>
      </c>
      <c r="B3" t="s">
        <v>11</v>
      </c>
      <c r="C3">
        <v>21.02</v>
      </c>
      <c r="D3">
        <v>1</v>
      </c>
      <c r="E3">
        <v>10.81</v>
      </c>
      <c r="F3">
        <v>1</v>
      </c>
      <c r="G3">
        <v>192</v>
      </c>
      <c r="H3">
        <v>205.96</v>
      </c>
      <c r="I3">
        <v>7.39</v>
      </c>
      <c r="J3">
        <v>41.28</v>
      </c>
      <c r="K3" s="2">
        <f t="shared" ref="K3:K66" si="0">E3/C3</f>
        <v>0.51427212178877268</v>
      </c>
      <c r="L3">
        <f t="shared" ref="L3:L66" si="1">IF(K3&gt;0.5,1,0)</f>
        <v>1</v>
      </c>
    </row>
    <row r="4" spans="1:15" x14ac:dyDescent="0.2">
      <c r="A4" t="s">
        <v>13</v>
      </c>
      <c r="B4" t="s">
        <v>11</v>
      </c>
      <c r="C4">
        <v>296.32</v>
      </c>
      <c r="D4">
        <v>0</v>
      </c>
      <c r="E4">
        <v>121.36</v>
      </c>
      <c r="F4">
        <v>0</v>
      </c>
      <c r="G4">
        <v>155</v>
      </c>
      <c r="H4">
        <v>139.94999999999999</v>
      </c>
      <c r="I4">
        <v>6.41</v>
      </c>
      <c r="J4">
        <v>48.06</v>
      </c>
      <c r="K4" s="2">
        <f t="shared" si="0"/>
        <v>0.40955723542116629</v>
      </c>
      <c r="L4">
        <f t="shared" si="1"/>
        <v>0</v>
      </c>
    </row>
    <row r="5" spans="1:15" x14ac:dyDescent="0.2">
      <c r="A5" t="s">
        <v>14</v>
      </c>
      <c r="B5" t="s">
        <v>11</v>
      </c>
      <c r="C5">
        <v>36.450000000000003</v>
      </c>
      <c r="D5">
        <v>1</v>
      </c>
      <c r="E5">
        <v>18.670000000000002</v>
      </c>
      <c r="F5">
        <v>1</v>
      </c>
      <c r="G5">
        <v>218</v>
      </c>
      <c r="H5">
        <v>50.63</v>
      </c>
      <c r="I5">
        <v>5.18</v>
      </c>
      <c r="J5">
        <v>29.63</v>
      </c>
      <c r="K5" s="2">
        <f t="shared" si="0"/>
        <v>0.51220850480109736</v>
      </c>
      <c r="L5">
        <f t="shared" si="1"/>
        <v>1</v>
      </c>
    </row>
    <row r="6" spans="1:15" x14ac:dyDescent="0.2">
      <c r="A6" t="s">
        <v>15</v>
      </c>
      <c r="B6" t="s">
        <v>11</v>
      </c>
      <c r="C6">
        <v>68.040000000000006</v>
      </c>
      <c r="D6">
        <v>0</v>
      </c>
      <c r="E6">
        <v>17.88</v>
      </c>
      <c r="F6">
        <v>1</v>
      </c>
      <c r="G6">
        <v>33</v>
      </c>
      <c r="H6">
        <v>27.95</v>
      </c>
      <c r="I6">
        <v>2.13</v>
      </c>
      <c r="J6">
        <v>23.19</v>
      </c>
      <c r="K6" s="2">
        <f t="shared" si="0"/>
        <v>0.26278659611992944</v>
      </c>
      <c r="L6">
        <f t="shared" si="1"/>
        <v>0</v>
      </c>
    </row>
    <row r="7" spans="1:15" x14ac:dyDescent="0.2">
      <c r="A7" t="s">
        <v>16</v>
      </c>
      <c r="B7" t="s">
        <v>11</v>
      </c>
      <c r="C7">
        <v>142.93</v>
      </c>
      <c r="D7">
        <v>1</v>
      </c>
      <c r="E7">
        <v>82.6</v>
      </c>
      <c r="F7">
        <v>1</v>
      </c>
      <c r="G7">
        <v>197</v>
      </c>
      <c r="H7">
        <v>126.43</v>
      </c>
      <c r="I7">
        <v>13.34</v>
      </c>
      <c r="J7">
        <v>13.6</v>
      </c>
      <c r="K7" s="2">
        <f t="shared" si="0"/>
        <v>0.57790526831316025</v>
      </c>
      <c r="L7">
        <f t="shared" si="1"/>
        <v>1</v>
      </c>
    </row>
    <row r="8" spans="1:15" x14ac:dyDescent="0.2">
      <c r="A8" t="s">
        <v>17</v>
      </c>
      <c r="B8" t="s">
        <v>11</v>
      </c>
      <c r="C8">
        <v>5.75</v>
      </c>
      <c r="D8">
        <v>1</v>
      </c>
      <c r="E8">
        <v>3.31</v>
      </c>
      <c r="F8">
        <v>1</v>
      </c>
      <c r="G8">
        <v>28</v>
      </c>
      <c r="H8">
        <v>31.97</v>
      </c>
      <c r="I8">
        <v>7.48</v>
      </c>
      <c r="J8">
        <v>6.4</v>
      </c>
      <c r="K8" s="2">
        <f t="shared" si="0"/>
        <v>0.57565217391304346</v>
      </c>
      <c r="L8">
        <f t="shared" si="1"/>
        <v>1</v>
      </c>
    </row>
    <row r="9" spans="1:15" x14ac:dyDescent="0.2">
      <c r="A9" t="s">
        <v>18</v>
      </c>
      <c r="B9" t="s">
        <v>11</v>
      </c>
      <c r="C9">
        <v>230.08</v>
      </c>
      <c r="D9">
        <v>0</v>
      </c>
      <c r="E9">
        <v>151.19999999999999</v>
      </c>
      <c r="F9">
        <v>1</v>
      </c>
      <c r="G9">
        <v>102</v>
      </c>
      <c r="H9">
        <v>102</v>
      </c>
      <c r="I9">
        <v>4.37</v>
      </c>
      <c r="J9">
        <v>27.52</v>
      </c>
      <c r="K9" s="2">
        <f t="shared" si="0"/>
        <v>0.6571627260083448</v>
      </c>
      <c r="L9">
        <f t="shared" si="1"/>
        <v>1</v>
      </c>
    </row>
    <row r="10" spans="1:15" x14ac:dyDescent="0.2">
      <c r="A10" t="s">
        <v>19</v>
      </c>
      <c r="B10" t="s">
        <v>11</v>
      </c>
      <c r="C10">
        <v>15.11</v>
      </c>
      <c r="D10">
        <v>0</v>
      </c>
      <c r="E10">
        <v>7.15</v>
      </c>
      <c r="F10">
        <v>1</v>
      </c>
      <c r="G10">
        <v>8</v>
      </c>
      <c r="H10">
        <v>3.39</v>
      </c>
      <c r="I10">
        <v>1.42</v>
      </c>
      <c r="J10">
        <v>4.45</v>
      </c>
      <c r="K10" s="2">
        <f t="shared" si="0"/>
        <v>0.47319655857048315</v>
      </c>
      <c r="L10">
        <f t="shared" si="1"/>
        <v>0</v>
      </c>
    </row>
    <row r="11" spans="1:15" x14ac:dyDescent="0.2">
      <c r="A11" t="s">
        <v>20</v>
      </c>
      <c r="B11" t="s">
        <v>11</v>
      </c>
      <c r="C11">
        <v>58.97</v>
      </c>
      <c r="D11">
        <v>0</v>
      </c>
      <c r="E11">
        <v>20.02</v>
      </c>
      <c r="F11">
        <v>0</v>
      </c>
      <c r="G11">
        <v>35</v>
      </c>
      <c r="H11">
        <v>22.44</v>
      </c>
      <c r="I11">
        <v>3.21</v>
      </c>
      <c r="J11">
        <v>23.71</v>
      </c>
      <c r="K11" s="2">
        <f t="shared" si="0"/>
        <v>0.33949465830083092</v>
      </c>
      <c r="L11">
        <f t="shared" si="1"/>
        <v>0</v>
      </c>
    </row>
    <row r="12" spans="1:15" x14ac:dyDescent="0.2">
      <c r="A12" t="s">
        <v>21</v>
      </c>
      <c r="B12" t="s">
        <v>11</v>
      </c>
      <c r="C12">
        <v>11.99</v>
      </c>
      <c r="D12">
        <v>0</v>
      </c>
      <c r="E12">
        <v>7.53</v>
      </c>
      <c r="F12">
        <v>0</v>
      </c>
      <c r="G12">
        <v>7</v>
      </c>
      <c r="H12">
        <v>5.25</v>
      </c>
      <c r="I12">
        <v>2.59</v>
      </c>
      <c r="J12">
        <v>3.77</v>
      </c>
      <c r="K12" s="2">
        <f t="shared" si="0"/>
        <v>0.62802335279399502</v>
      </c>
      <c r="L12">
        <f t="shared" si="1"/>
        <v>1</v>
      </c>
    </row>
    <row r="13" spans="1:15" x14ac:dyDescent="0.2">
      <c r="A13" t="s">
        <v>22</v>
      </c>
      <c r="B13" t="s">
        <v>11</v>
      </c>
      <c r="C13">
        <v>119.71</v>
      </c>
      <c r="D13">
        <v>0</v>
      </c>
      <c r="E13">
        <v>31.86</v>
      </c>
      <c r="F13">
        <v>0</v>
      </c>
      <c r="G13">
        <v>35</v>
      </c>
      <c r="H13">
        <v>24.72</v>
      </c>
      <c r="I13">
        <v>2.38</v>
      </c>
      <c r="J13">
        <v>13.62</v>
      </c>
      <c r="K13" s="2">
        <f t="shared" si="0"/>
        <v>0.26614317935009607</v>
      </c>
      <c r="L13">
        <f t="shared" si="1"/>
        <v>0</v>
      </c>
    </row>
    <row r="14" spans="1:15" x14ac:dyDescent="0.2">
      <c r="A14" t="s">
        <v>23</v>
      </c>
      <c r="B14" t="s">
        <v>11</v>
      </c>
      <c r="C14">
        <v>11.7</v>
      </c>
      <c r="D14">
        <v>1</v>
      </c>
      <c r="E14">
        <v>6.03</v>
      </c>
      <c r="F14">
        <v>1</v>
      </c>
      <c r="G14">
        <v>3</v>
      </c>
      <c r="H14">
        <v>9.6300000000000008</v>
      </c>
      <c r="I14">
        <v>4.54</v>
      </c>
      <c r="J14">
        <v>3.75</v>
      </c>
      <c r="K14" s="2">
        <f t="shared" si="0"/>
        <v>0.51538461538461544</v>
      </c>
      <c r="L14">
        <f t="shared" si="1"/>
        <v>1</v>
      </c>
    </row>
    <row r="15" spans="1:15" x14ac:dyDescent="0.2">
      <c r="A15" t="s">
        <v>24</v>
      </c>
      <c r="B15" t="s">
        <v>11</v>
      </c>
      <c r="C15">
        <v>325.02</v>
      </c>
      <c r="D15">
        <v>1</v>
      </c>
      <c r="E15">
        <v>137.44999999999999</v>
      </c>
      <c r="F15">
        <v>0</v>
      </c>
      <c r="G15">
        <v>175</v>
      </c>
      <c r="H15">
        <v>184.59</v>
      </c>
      <c r="I15">
        <v>5.67</v>
      </c>
      <c r="J15">
        <v>68.98</v>
      </c>
      <c r="K15" s="2">
        <f t="shared" si="0"/>
        <v>0.42289705248907761</v>
      </c>
      <c r="L15">
        <f t="shared" si="1"/>
        <v>0</v>
      </c>
    </row>
    <row r="16" spans="1:15" x14ac:dyDescent="0.2">
      <c r="A16" t="s">
        <v>25</v>
      </c>
      <c r="B16" t="s">
        <v>11</v>
      </c>
      <c r="C16">
        <v>325.07</v>
      </c>
      <c r="D16">
        <v>0</v>
      </c>
      <c r="E16">
        <v>206.07</v>
      </c>
      <c r="F16">
        <v>1</v>
      </c>
      <c r="G16">
        <v>185</v>
      </c>
      <c r="H16">
        <v>80.73</v>
      </c>
      <c r="I16">
        <v>3.72</v>
      </c>
      <c r="J16">
        <v>25.55</v>
      </c>
      <c r="K16" s="2">
        <f t="shared" si="0"/>
        <v>0.63392500076906511</v>
      </c>
      <c r="L16">
        <f t="shared" si="1"/>
        <v>1</v>
      </c>
    </row>
    <row r="17" spans="1:12" x14ac:dyDescent="0.2">
      <c r="A17" t="s">
        <v>26</v>
      </c>
      <c r="B17" t="s">
        <v>11</v>
      </c>
      <c r="C17">
        <v>111.16</v>
      </c>
      <c r="D17">
        <v>0</v>
      </c>
      <c r="E17">
        <v>48.64</v>
      </c>
      <c r="F17">
        <v>1</v>
      </c>
      <c r="G17">
        <v>34</v>
      </c>
      <c r="H17">
        <v>23.74</v>
      </c>
      <c r="I17">
        <v>2.08</v>
      </c>
      <c r="J17">
        <v>13.87</v>
      </c>
      <c r="K17" s="2">
        <f t="shared" si="0"/>
        <v>0.43756747031306226</v>
      </c>
      <c r="L17">
        <f t="shared" si="1"/>
        <v>0</v>
      </c>
    </row>
    <row r="18" spans="1:12" x14ac:dyDescent="0.2">
      <c r="A18" t="s">
        <v>27</v>
      </c>
      <c r="B18" t="s">
        <v>11</v>
      </c>
      <c r="C18">
        <v>197.39</v>
      </c>
      <c r="D18">
        <v>0</v>
      </c>
      <c r="E18">
        <v>55.02</v>
      </c>
      <c r="F18">
        <v>1</v>
      </c>
      <c r="G18">
        <v>105</v>
      </c>
      <c r="H18">
        <v>163.27000000000001</v>
      </c>
      <c r="I18">
        <v>4.2300000000000004</v>
      </c>
      <c r="J18">
        <v>15.01</v>
      </c>
      <c r="K18" s="2">
        <f t="shared" si="0"/>
        <v>0.27873752469729979</v>
      </c>
      <c r="L18">
        <f t="shared" si="1"/>
        <v>0</v>
      </c>
    </row>
    <row r="19" spans="1:12" x14ac:dyDescent="0.2">
      <c r="A19" t="s">
        <v>28</v>
      </c>
      <c r="B19" t="s">
        <v>11</v>
      </c>
      <c r="C19">
        <v>224.34</v>
      </c>
      <c r="D19">
        <v>1</v>
      </c>
      <c r="E19">
        <v>97.94</v>
      </c>
      <c r="F19">
        <v>0</v>
      </c>
      <c r="G19">
        <v>89</v>
      </c>
      <c r="H19">
        <v>166.84</v>
      </c>
      <c r="I19">
        <v>3.29</v>
      </c>
      <c r="J19">
        <v>69.680000000000007</v>
      </c>
      <c r="K19" s="2">
        <f t="shared" si="0"/>
        <v>0.43656949273424267</v>
      </c>
      <c r="L19">
        <f t="shared" si="1"/>
        <v>0</v>
      </c>
    </row>
    <row r="20" spans="1:12" x14ac:dyDescent="0.2">
      <c r="A20" t="s">
        <v>29</v>
      </c>
      <c r="B20" t="s">
        <v>11</v>
      </c>
      <c r="C20">
        <v>226.54</v>
      </c>
      <c r="D20">
        <v>1</v>
      </c>
      <c r="E20">
        <v>123.13</v>
      </c>
      <c r="F20">
        <v>0</v>
      </c>
      <c r="G20">
        <v>59</v>
      </c>
      <c r="H20">
        <v>192.32</v>
      </c>
      <c r="I20">
        <v>8.09</v>
      </c>
      <c r="J20">
        <v>30.46</v>
      </c>
      <c r="K20" s="2">
        <f t="shared" si="0"/>
        <v>0.54352432241546744</v>
      </c>
      <c r="L20">
        <f t="shared" si="1"/>
        <v>1</v>
      </c>
    </row>
    <row r="21" spans="1:12" x14ac:dyDescent="0.2">
      <c r="A21" t="s">
        <v>30</v>
      </c>
      <c r="B21" t="s">
        <v>11</v>
      </c>
      <c r="C21">
        <v>1670.48</v>
      </c>
      <c r="D21">
        <v>0</v>
      </c>
      <c r="E21">
        <v>936.31</v>
      </c>
      <c r="F21">
        <v>1</v>
      </c>
      <c r="G21">
        <v>1081</v>
      </c>
      <c r="H21">
        <v>565.77</v>
      </c>
      <c r="I21">
        <v>8.9499999999999993</v>
      </c>
      <c r="J21">
        <v>101.31</v>
      </c>
      <c r="K21" s="2">
        <f t="shared" si="0"/>
        <v>0.56050356783678934</v>
      </c>
      <c r="L21">
        <f t="shared" si="1"/>
        <v>1</v>
      </c>
    </row>
    <row r="22" spans="1:12" x14ac:dyDescent="0.2">
      <c r="A22" t="s">
        <v>31</v>
      </c>
      <c r="B22" t="s">
        <v>11</v>
      </c>
      <c r="C22">
        <v>19.05</v>
      </c>
      <c r="D22">
        <v>0</v>
      </c>
      <c r="E22">
        <v>3.58</v>
      </c>
      <c r="F22">
        <v>1</v>
      </c>
      <c r="G22">
        <v>4</v>
      </c>
      <c r="H22">
        <v>10.97</v>
      </c>
      <c r="I22">
        <v>2.67</v>
      </c>
      <c r="J22">
        <v>4.6900000000000004</v>
      </c>
      <c r="K22" s="2">
        <f t="shared" si="0"/>
        <v>0.1879265091863517</v>
      </c>
      <c r="L22">
        <f t="shared" si="1"/>
        <v>0</v>
      </c>
    </row>
    <row r="23" spans="1:12" x14ac:dyDescent="0.2">
      <c r="A23" t="s">
        <v>32</v>
      </c>
      <c r="B23" t="s">
        <v>11</v>
      </c>
      <c r="C23">
        <v>264.23</v>
      </c>
      <c r="D23">
        <v>1</v>
      </c>
      <c r="E23">
        <v>133.54</v>
      </c>
      <c r="F23">
        <v>1</v>
      </c>
      <c r="G23">
        <v>164</v>
      </c>
      <c r="H23">
        <v>91.99</v>
      </c>
      <c r="I23">
        <v>9.85</v>
      </c>
      <c r="J23">
        <v>27.07</v>
      </c>
      <c r="K23" s="2">
        <f t="shared" si="0"/>
        <v>0.50539302880066606</v>
      </c>
      <c r="L23">
        <f t="shared" si="1"/>
        <v>1</v>
      </c>
    </row>
    <row r="24" spans="1:12" x14ac:dyDescent="0.2">
      <c r="A24" t="s">
        <v>33</v>
      </c>
      <c r="B24" t="s">
        <v>11</v>
      </c>
      <c r="C24">
        <v>34.25</v>
      </c>
      <c r="D24">
        <v>1</v>
      </c>
      <c r="E24">
        <v>19.8</v>
      </c>
      <c r="F24">
        <v>0</v>
      </c>
      <c r="G24">
        <v>97</v>
      </c>
      <c r="H24">
        <v>143.66999999999999</v>
      </c>
      <c r="I24">
        <v>3.72</v>
      </c>
      <c r="J24">
        <v>52.86</v>
      </c>
      <c r="K24" s="2">
        <f t="shared" si="0"/>
        <v>0.5781021897810219</v>
      </c>
      <c r="L24">
        <f t="shared" si="1"/>
        <v>1</v>
      </c>
    </row>
    <row r="25" spans="1:12" x14ac:dyDescent="0.2">
      <c r="A25" t="s">
        <v>34</v>
      </c>
      <c r="B25" t="s">
        <v>11</v>
      </c>
      <c r="C25">
        <v>291.63</v>
      </c>
      <c r="D25">
        <v>0</v>
      </c>
      <c r="E25">
        <v>77.58</v>
      </c>
      <c r="F25">
        <v>1</v>
      </c>
      <c r="G25">
        <v>64</v>
      </c>
      <c r="H25">
        <v>50.36</v>
      </c>
      <c r="I25">
        <v>3.04</v>
      </c>
      <c r="J25">
        <v>13.33</v>
      </c>
      <c r="K25" s="2">
        <f t="shared" si="0"/>
        <v>0.26602201419607036</v>
      </c>
      <c r="L25">
        <f t="shared" si="1"/>
        <v>0</v>
      </c>
    </row>
    <row r="26" spans="1:12" x14ac:dyDescent="0.2">
      <c r="A26" t="s">
        <v>35</v>
      </c>
      <c r="B26" t="s">
        <v>11</v>
      </c>
      <c r="C26">
        <v>48.31</v>
      </c>
      <c r="D26">
        <v>1</v>
      </c>
      <c r="E26">
        <v>11.17</v>
      </c>
      <c r="F26">
        <v>1</v>
      </c>
      <c r="G26">
        <v>31</v>
      </c>
      <c r="H26">
        <v>34.68</v>
      </c>
      <c r="I26">
        <v>4.59</v>
      </c>
      <c r="J26">
        <v>18.670000000000002</v>
      </c>
      <c r="K26" s="2">
        <f t="shared" si="0"/>
        <v>0.23121506934382113</v>
      </c>
      <c r="L26">
        <f t="shared" si="1"/>
        <v>0</v>
      </c>
    </row>
    <row r="27" spans="1:12" x14ac:dyDescent="0.2">
      <c r="A27" t="s">
        <v>36</v>
      </c>
      <c r="B27" t="s">
        <v>11</v>
      </c>
      <c r="C27">
        <v>392.83</v>
      </c>
      <c r="D27">
        <v>0</v>
      </c>
      <c r="E27">
        <v>159.19</v>
      </c>
      <c r="F27">
        <v>1</v>
      </c>
      <c r="G27">
        <v>140</v>
      </c>
      <c r="H27">
        <v>114.87</v>
      </c>
      <c r="I27">
        <v>5.95</v>
      </c>
      <c r="J27">
        <v>34.659999999999997</v>
      </c>
      <c r="K27" s="2">
        <f t="shared" si="0"/>
        <v>0.40523890741542146</v>
      </c>
      <c r="L27">
        <f t="shared" si="1"/>
        <v>0</v>
      </c>
    </row>
    <row r="28" spans="1:12" x14ac:dyDescent="0.2">
      <c r="A28" t="s">
        <v>37</v>
      </c>
      <c r="B28" t="s">
        <v>11</v>
      </c>
      <c r="C28">
        <v>1251.02</v>
      </c>
      <c r="D28">
        <v>0</v>
      </c>
      <c r="E28">
        <v>180.08</v>
      </c>
      <c r="F28">
        <v>0</v>
      </c>
      <c r="G28">
        <v>1314</v>
      </c>
      <c r="H28">
        <v>496.15</v>
      </c>
      <c r="I28">
        <v>6.89</v>
      </c>
      <c r="J28">
        <v>173.91</v>
      </c>
      <c r="K28" s="2">
        <f t="shared" si="0"/>
        <v>0.1439465396236671</v>
      </c>
      <c r="L28">
        <f t="shared" si="1"/>
        <v>0</v>
      </c>
    </row>
    <row r="29" spans="1:12" x14ac:dyDescent="0.2">
      <c r="A29" t="s">
        <v>38</v>
      </c>
      <c r="B29" t="s">
        <v>11</v>
      </c>
      <c r="C29">
        <v>15.33</v>
      </c>
      <c r="D29">
        <v>1</v>
      </c>
      <c r="E29">
        <v>9.4499999999999993</v>
      </c>
      <c r="F29">
        <v>0</v>
      </c>
      <c r="G29">
        <v>8</v>
      </c>
      <c r="H29">
        <v>1.25</v>
      </c>
      <c r="I29">
        <v>2.74</v>
      </c>
      <c r="J29">
        <v>2.33</v>
      </c>
      <c r="K29" s="2">
        <f t="shared" si="0"/>
        <v>0.61643835616438347</v>
      </c>
      <c r="L29">
        <f t="shared" si="1"/>
        <v>1</v>
      </c>
    </row>
    <row r="30" spans="1:12" x14ac:dyDescent="0.2">
      <c r="A30" t="s">
        <v>39</v>
      </c>
      <c r="B30" t="s">
        <v>11</v>
      </c>
      <c r="C30">
        <v>12.86</v>
      </c>
      <c r="D30">
        <v>1</v>
      </c>
      <c r="E30">
        <v>6.97</v>
      </c>
      <c r="F30">
        <v>0</v>
      </c>
      <c r="G30">
        <v>181</v>
      </c>
      <c r="H30">
        <v>20.55</v>
      </c>
      <c r="I30">
        <v>6.2</v>
      </c>
      <c r="J30">
        <v>15.9</v>
      </c>
      <c r="K30" s="2">
        <f t="shared" si="0"/>
        <v>0.5419906687402799</v>
      </c>
      <c r="L30">
        <f t="shared" si="1"/>
        <v>1</v>
      </c>
    </row>
    <row r="31" spans="1:12" x14ac:dyDescent="0.2">
      <c r="A31" t="s">
        <v>40</v>
      </c>
      <c r="B31" t="s">
        <v>11</v>
      </c>
      <c r="C31">
        <v>8.94</v>
      </c>
      <c r="D31">
        <v>1</v>
      </c>
      <c r="E31">
        <v>2.0099999999999998</v>
      </c>
      <c r="F31">
        <v>1</v>
      </c>
      <c r="G31">
        <v>807</v>
      </c>
      <c r="H31">
        <v>805.64</v>
      </c>
      <c r="I31">
        <v>12.02</v>
      </c>
      <c r="J31">
        <v>102.97</v>
      </c>
      <c r="K31" s="2">
        <f t="shared" si="0"/>
        <v>0.22483221476510065</v>
      </c>
      <c r="L31">
        <f t="shared" si="1"/>
        <v>0</v>
      </c>
    </row>
    <row r="32" spans="1:12" x14ac:dyDescent="0.2">
      <c r="A32" t="s">
        <v>41</v>
      </c>
      <c r="B32" t="s">
        <v>11</v>
      </c>
      <c r="C32">
        <v>11.67</v>
      </c>
      <c r="D32">
        <v>1</v>
      </c>
      <c r="E32">
        <v>7.64</v>
      </c>
      <c r="F32">
        <v>1</v>
      </c>
      <c r="G32">
        <v>5</v>
      </c>
      <c r="H32">
        <v>4.2</v>
      </c>
      <c r="I32">
        <v>2.35</v>
      </c>
      <c r="J32">
        <v>2.95</v>
      </c>
      <c r="K32" s="2">
        <f t="shared" si="0"/>
        <v>0.6546700942587832</v>
      </c>
      <c r="L32">
        <f t="shared" si="1"/>
        <v>1</v>
      </c>
    </row>
    <row r="33" spans="1:12" x14ac:dyDescent="0.2">
      <c r="A33" t="s">
        <v>42</v>
      </c>
      <c r="B33" t="s">
        <v>11</v>
      </c>
      <c r="C33">
        <v>62.75</v>
      </c>
      <c r="D33">
        <v>1</v>
      </c>
      <c r="E33">
        <v>39.6</v>
      </c>
      <c r="F33">
        <v>1</v>
      </c>
      <c r="G33">
        <v>25</v>
      </c>
      <c r="H33">
        <v>32.71</v>
      </c>
      <c r="I33">
        <v>2.96</v>
      </c>
      <c r="J33">
        <v>23.36</v>
      </c>
      <c r="K33" s="2">
        <f t="shared" si="0"/>
        <v>0.63107569721115542</v>
      </c>
      <c r="L33">
        <f t="shared" si="1"/>
        <v>1</v>
      </c>
    </row>
    <row r="34" spans="1:12" x14ac:dyDescent="0.2">
      <c r="A34" t="s">
        <v>43</v>
      </c>
      <c r="B34" t="s">
        <v>11</v>
      </c>
      <c r="C34">
        <v>17.52</v>
      </c>
      <c r="D34">
        <v>0</v>
      </c>
      <c r="E34">
        <v>10.65</v>
      </c>
      <c r="F34">
        <v>1</v>
      </c>
      <c r="G34">
        <v>7</v>
      </c>
      <c r="H34">
        <v>4.5599999999999996</v>
      </c>
      <c r="I34">
        <v>1.67</v>
      </c>
      <c r="J34">
        <v>2.11</v>
      </c>
      <c r="K34" s="2">
        <f t="shared" si="0"/>
        <v>0.60787671232876717</v>
      </c>
      <c r="L34">
        <f t="shared" si="1"/>
        <v>1</v>
      </c>
    </row>
    <row r="35" spans="1:12" x14ac:dyDescent="0.2">
      <c r="A35" t="s">
        <v>44</v>
      </c>
      <c r="B35" t="s">
        <v>11</v>
      </c>
      <c r="C35">
        <v>14.76</v>
      </c>
      <c r="D35">
        <v>1</v>
      </c>
      <c r="E35">
        <v>4.04</v>
      </c>
      <c r="F35">
        <v>0</v>
      </c>
      <c r="G35">
        <v>4</v>
      </c>
      <c r="H35">
        <v>7.38</v>
      </c>
      <c r="I35">
        <v>2.2400000000000002</v>
      </c>
      <c r="J35">
        <v>3.96</v>
      </c>
      <c r="K35" s="2">
        <f t="shared" si="0"/>
        <v>0.27371273712737126</v>
      </c>
      <c r="L35">
        <f t="shared" si="1"/>
        <v>0</v>
      </c>
    </row>
    <row r="36" spans="1:12" x14ac:dyDescent="0.2">
      <c r="A36" t="s">
        <v>45</v>
      </c>
      <c r="B36" t="s">
        <v>11</v>
      </c>
      <c r="C36">
        <v>172.78</v>
      </c>
      <c r="D36">
        <v>0</v>
      </c>
      <c r="E36">
        <v>51.89</v>
      </c>
      <c r="F36">
        <v>1</v>
      </c>
      <c r="G36">
        <v>173</v>
      </c>
      <c r="H36">
        <v>138.94999999999999</v>
      </c>
      <c r="I36">
        <v>6.51</v>
      </c>
      <c r="J36">
        <v>31.42</v>
      </c>
      <c r="K36" s="2">
        <f t="shared" si="0"/>
        <v>0.30032411158698924</v>
      </c>
      <c r="L36">
        <f t="shared" si="1"/>
        <v>0</v>
      </c>
    </row>
    <row r="37" spans="1:12" x14ac:dyDescent="0.2">
      <c r="A37" t="s">
        <v>46</v>
      </c>
      <c r="B37" t="s">
        <v>11</v>
      </c>
      <c r="C37">
        <v>123.7</v>
      </c>
      <c r="D37">
        <v>0</v>
      </c>
      <c r="E37">
        <v>78.47</v>
      </c>
      <c r="F37">
        <v>0</v>
      </c>
      <c r="G37">
        <v>99</v>
      </c>
      <c r="H37">
        <v>95.16</v>
      </c>
      <c r="I37">
        <v>3.82</v>
      </c>
      <c r="J37">
        <v>47.49</v>
      </c>
      <c r="K37" s="2">
        <f t="shared" si="0"/>
        <v>0.63435731608730794</v>
      </c>
      <c r="L37">
        <f t="shared" si="1"/>
        <v>1</v>
      </c>
    </row>
    <row r="38" spans="1:12" x14ac:dyDescent="0.2">
      <c r="A38" t="s">
        <v>47</v>
      </c>
      <c r="B38" t="s">
        <v>11</v>
      </c>
      <c r="C38">
        <v>191.04</v>
      </c>
      <c r="D38">
        <v>0</v>
      </c>
      <c r="E38">
        <v>55.82</v>
      </c>
      <c r="F38">
        <v>0</v>
      </c>
      <c r="G38">
        <v>179</v>
      </c>
      <c r="H38">
        <v>88.55</v>
      </c>
      <c r="I38">
        <v>3.08</v>
      </c>
      <c r="J38">
        <v>46.49</v>
      </c>
      <c r="K38" s="2">
        <f t="shared" si="0"/>
        <v>0.29219011725293131</v>
      </c>
      <c r="L38">
        <f t="shared" si="1"/>
        <v>0</v>
      </c>
    </row>
    <row r="39" spans="1:12" x14ac:dyDescent="0.2">
      <c r="A39" t="s">
        <v>48</v>
      </c>
      <c r="B39" t="s">
        <v>11</v>
      </c>
      <c r="C39">
        <v>176.18</v>
      </c>
      <c r="D39">
        <v>0</v>
      </c>
      <c r="E39">
        <v>50.11</v>
      </c>
      <c r="F39">
        <v>0</v>
      </c>
      <c r="G39">
        <v>91</v>
      </c>
      <c r="H39">
        <v>130.16</v>
      </c>
      <c r="I39">
        <v>5.4</v>
      </c>
      <c r="J39">
        <v>69.44</v>
      </c>
      <c r="K39" s="2">
        <f t="shared" si="0"/>
        <v>0.28442501986604607</v>
      </c>
      <c r="L39">
        <f t="shared" si="1"/>
        <v>0</v>
      </c>
    </row>
    <row r="40" spans="1:12" x14ac:dyDescent="0.2">
      <c r="A40" t="s">
        <v>49</v>
      </c>
      <c r="B40" t="s">
        <v>11</v>
      </c>
      <c r="C40">
        <v>1131.6300000000001</v>
      </c>
      <c r="D40">
        <v>0</v>
      </c>
      <c r="E40">
        <v>690.31</v>
      </c>
      <c r="F40">
        <v>1</v>
      </c>
      <c r="G40">
        <v>555</v>
      </c>
      <c r="H40">
        <v>907.3</v>
      </c>
      <c r="I40">
        <v>8.98</v>
      </c>
      <c r="J40">
        <v>69.81</v>
      </c>
      <c r="K40" s="2">
        <f t="shared" si="0"/>
        <v>0.61001387379267069</v>
      </c>
      <c r="L40">
        <f t="shared" si="1"/>
        <v>1</v>
      </c>
    </row>
    <row r="41" spans="1:12" x14ac:dyDescent="0.2">
      <c r="A41" t="s">
        <v>50</v>
      </c>
      <c r="B41" t="s">
        <v>11</v>
      </c>
      <c r="C41">
        <v>16.18</v>
      </c>
      <c r="D41">
        <v>1</v>
      </c>
      <c r="E41">
        <v>5.58</v>
      </c>
      <c r="F41">
        <v>1</v>
      </c>
      <c r="G41">
        <v>7</v>
      </c>
      <c r="H41">
        <v>8.5</v>
      </c>
      <c r="I41">
        <v>2.44</v>
      </c>
      <c r="J41">
        <v>3.93</v>
      </c>
      <c r="K41" s="2">
        <f t="shared" si="0"/>
        <v>0.34487021013597036</v>
      </c>
      <c r="L41">
        <f t="shared" si="1"/>
        <v>0</v>
      </c>
    </row>
    <row r="42" spans="1:12" x14ac:dyDescent="0.2">
      <c r="A42" t="s">
        <v>51</v>
      </c>
      <c r="B42" t="s">
        <v>11</v>
      </c>
      <c r="C42">
        <v>93.26</v>
      </c>
      <c r="D42">
        <v>1</v>
      </c>
      <c r="E42">
        <v>9.32</v>
      </c>
      <c r="F42">
        <v>1</v>
      </c>
      <c r="G42">
        <v>48</v>
      </c>
      <c r="H42">
        <v>213.2</v>
      </c>
      <c r="I42">
        <v>5.13</v>
      </c>
      <c r="J42">
        <v>31.8</v>
      </c>
      <c r="K42" s="2">
        <f t="shared" si="0"/>
        <v>9.9935663735792407E-2</v>
      </c>
      <c r="L42">
        <f t="shared" si="1"/>
        <v>0</v>
      </c>
    </row>
    <row r="43" spans="1:12" x14ac:dyDescent="0.2">
      <c r="A43" t="s">
        <v>52</v>
      </c>
      <c r="B43" t="s">
        <v>11</v>
      </c>
      <c r="C43">
        <v>200.48</v>
      </c>
      <c r="D43">
        <v>0</v>
      </c>
      <c r="E43">
        <v>84.9</v>
      </c>
      <c r="F43">
        <v>1</v>
      </c>
      <c r="G43">
        <v>50</v>
      </c>
      <c r="H43">
        <v>105.61</v>
      </c>
      <c r="I43">
        <v>8.5299999999999994</v>
      </c>
      <c r="J43">
        <v>16.63</v>
      </c>
      <c r="K43" s="2">
        <f t="shared" si="0"/>
        <v>0.42348363926576221</v>
      </c>
      <c r="L43">
        <f t="shared" si="1"/>
        <v>0</v>
      </c>
    </row>
    <row r="44" spans="1:12" x14ac:dyDescent="0.2">
      <c r="A44" t="s">
        <v>53</v>
      </c>
      <c r="B44" t="s">
        <v>11</v>
      </c>
      <c r="C44">
        <v>76.38</v>
      </c>
      <c r="D44">
        <v>1</v>
      </c>
      <c r="E44">
        <v>28.5</v>
      </c>
      <c r="F44">
        <v>0</v>
      </c>
      <c r="G44">
        <v>132</v>
      </c>
      <c r="H44">
        <v>68.14</v>
      </c>
      <c r="I44">
        <v>5.13</v>
      </c>
      <c r="J44">
        <v>24.82</v>
      </c>
      <c r="K44" s="2">
        <f t="shared" si="0"/>
        <v>0.37313432835820898</v>
      </c>
      <c r="L44">
        <f t="shared" si="1"/>
        <v>0</v>
      </c>
    </row>
    <row r="45" spans="1:12" x14ac:dyDescent="0.2">
      <c r="A45" t="s">
        <v>54</v>
      </c>
      <c r="B45" t="s">
        <v>11</v>
      </c>
      <c r="C45">
        <v>75.78</v>
      </c>
      <c r="D45">
        <v>0</v>
      </c>
      <c r="E45">
        <v>30.39</v>
      </c>
      <c r="F45">
        <v>1</v>
      </c>
      <c r="G45">
        <v>55</v>
      </c>
      <c r="H45">
        <v>192.49</v>
      </c>
      <c r="I45">
        <v>4.5199999999999996</v>
      </c>
      <c r="J45">
        <v>21.79</v>
      </c>
      <c r="K45" s="2">
        <f t="shared" si="0"/>
        <v>0.40102929532858272</v>
      </c>
      <c r="L45">
        <f t="shared" si="1"/>
        <v>0</v>
      </c>
    </row>
    <row r="46" spans="1:12" x14ac:dyDescent="0.2">
      <c r="A46" t="s">
        <v>55</v>
      </c>
      <c r="B46" t="s">
        <v>11</v>
      </c>
      <c r="C46">
        <v>15.43</v>
      </c>
      <c r="D46">
        <v>1</v>
      </c>
      <c r="E46">
        <v>4.84</v>
      </c>
      <c r="F46">
        <v>1</v>
      </c>
      <c r="G46">
        <v>11</v>
      </c>
      <c r="H46">
        <v>8.51</v>
      </c>
      <c r="I46">
        <v>5.18</v>
      </c>
      <c r="J46">
        <v>3.15</v>
      </c>
      <c r="K46" s="2">
        <f t="shared" si="0"/>
        <v>0.31367465975372649</v>
      </c>
      <c r="L46">
        <f t="shared" si="1"/>
        <v>0</v>
      </c>
    </row>
    <row r="47" spans="1:12" x14ac:dyDescent="0.2">
      <c r="A47" t="s">
        <v>56</v>
      </c>
      <c r="B47" t="s">
        <v>11</v>
      </c>
      <c r="C47">
        <v>253.24</v>
      </c>
      <c r="D47">
        <v>1</v>
      </c>
      <c r="E47">
        <v>179.11</v>
      </c>
      <c r="F47">
        <v>0</v>
      </c>
      <c r="G47">
        <v>99</v>
      </c>
      <c r="H47">
        <v>91.14</v>
      </c>
      <c r="I47">
        <v>6.26</v>
      </c>
      <c r="J47">
        <v>26.19</v>
      </c>
      <c r="K47" s="2">
        <f t="shared" si="0"/>
        <v>0.70727373242773661</v>
      </c>
      <c r="L47">
        <f t="shared" si="1"/>
        <v>1</v>
      </c>
    </row>
    <row r="48" spans="1:12" x14ac:dyDescent="0.2">
      <c r="A48" t="s">
        <v>57</v>
      </c>
      <c r="B48" t="s">
        <v>11</v>
      </c>
      <c r="C48">
        <v>585.57000000000005</v>
      </c>
      <c r="D48">
        <v>1</v>
      </c>
      <c r="E48">
        <v>284.68</v>
      </c>
      <c r="F48">
        <v>0</v>
      </c>
      <c r="G48">
        <v>1162</v>
      </c>
      <c r="H48">
        <v>644.63</v>
      </c>
      <c r="I48">
        <v>11.79</v>
      </c>
      <c r="J48">
        <v>69.790000000000006</v>
      </c>
      <c r="K48" s="2">
        <f t="shared" si="0"/>
        <v>0.48615878545690522</v>
      </c>
      <c r="L48">
        <f t="shared" si="1"/>
        <v>0</v>
      </c>
    </row>
    <row r="49" spans="1:12" x14ac:dyDescent="0.2">
      <c r="A49" t="s">
        <v>58</v>
      </c>
      <c r="B49" t="s">
        <v>11</v>
      </c>
      <c r="C49">
        <v>23.01</v>
      </c>
      <c r="D49">
        <v>0</v>
      </c>
      <c r="E49">
        <v>13.09</v>
      </c>
      <c r="F49">
        <v>0</v>
      </c>
      <c r="G49">
        <v>8</v>
      </c>
      <c r="H49">
        <v>11.35</v>
      </c>
      <c r="I49">
        <v>2.36</v>
      </c>
      <c r="J49">
        <v>5.86</v>
      </c>
      <c r="K49" s="2">
        <f t="shared" si="0"/>
        <v>0.56888309430682305</v>
      </c>
      <c r="L49">
        <f t="shared" si="1"/>
        <v>1</v>
      </c>
    </row>
    <row r="50" spans="1:12" x14ac:dyDescent="0.2">
      <c r="A50" t="s">
        <v>59</v>
      </c>
      <c r="B50" t="s">
        <v>11</v>
      </c>
      <c r="C50">
        <v>34.479999999999997</v>
      </c>
      <c r="D50">
        <v>0</v>
      </c>
      <c r="E50">
        <v>10.15</v>
      </c>
      <c r="F50">
        <v>1</v>
      </c>
      <c r="G50">
        <v>40</v>
      </c>
      <c r="H50">
        <v>31.58</v>
      </c>
      <c r="I50">
        <v>4.47</v>
      </c>
      <c r="J50">
        <v>26.01</v>
      </c>
      <c r="K50" s="2">
        <f t="shared" si="0"/>
        <v>0.29437354988399078</v>
      </c>
      <c r="L50">
        <f t="shared" si="1"/>
        <v>0</v>
      </c>
    </row>
    <row r="51" spans="1:12" x14ac:dyDescent="0.2">
      <c r="A51" t="s">
        <v>60</v>
      </c>
      <c r="B51" t="s">
        <v>11</v>
      </c>
      <c r="C51">
        <v>46.59</v>
      </c>
      <c r="D51">
        <v>0</v>
      </c>
      <c r="E51">
        <v>37.26</v>
      </c>
      <c r="F51">
        <v>0</v>
      </c>
      <c r="G51">
        <v>24</v>
      </c>
      <c r="H51">
        <v>33.86</v>
      </c>
      <c r="I51">
        <v>2.76</v>
      </c>
      <c r="J51">
        <v>12.42</v>
      </c>
      <c r="K51" s="2">
        <f t="shared" si="0"/>
        <v>0.79974243399871203</v>
      </c>
      <c r="L51">
        <f t="shared" si="1"/>
        <v>1</v>
      </c>
    </row>
    <row r="52" spans="1:12" x14ac:dyDescent="0.2">
      <c r="A52" t="s">
        <v>61</v>
      </c>
      <c r="B52" t="s">
        <v>11</v>
      </c>
      <c r="C52">
        <v>219.28</v>
      </c>
      <c r="D52">
        <v>0</v>
      </c>
      <c r="E52">
        <v>83.64</v>
      </c>
      <c r="F52">
        <v>1</v>
      </c>
      <c r="G52">
        <v>159</v>
      </c>
      <c r="H52">
        <v>144.22</v>
      </c>
      <c r="I52">
        <v>6.79</v>
      </c>
      <c r="J52">
        <v>60.55</v>
      </c>
      <c r="K52" s="2">
        <f t="shared" si="0"/>
        <v>0.38143013498723094</v>
      </c>
      <c r="L52">
        <f t="shared" si="1"/>
        <v>0</v>
      </c>
    </row>
    <row r="53" spans="1:12" x14ac:dyDescent="0.2">
      <c r="A53" t="s">
        <v>62</v>
      </c>
      <c r="B53" t="s">
        <v>11</v>
      </c>
      <c r="C53">
        <v>80.34</v>
      </c>
      <c r="D53">
        <v>0</v>
      </c>
      <c r="E53">
        <v>41.55</v>
      </c>
      <c r="F53">
        <v>0</v>
      </c>
      <c r="G53">
        <v>18</v>
      </c>
      <c r="H53">
        <v>30.85</v>
      </c>
      <c r="I53">
        <v>2.54</v>
      </c>
      <c r="J53">
        <v>11.26</v>
      </c>
      <c r="K53" s="2">
        <f t="shared" si="0"/>
        <v>0.51717699775952197</v>
      </c>
      <c r="L53">
        <f t="shared" si="1"/>
        <v>1</v>
      </c>
    </row>
    <row r="54" spans="1:12" x14ac:dyDescent="0.2">
      <c r="A54" t="s">
        <v>63</v>
      </c>
      <c r="B54" t="s">
        <v>11</v>
      </c>
      <c r="C54">
        <v>21.65</v>
      </c>
      <c r="D54">
        <v>0</v>
      </c>
      <c r="E54">
        <v>16.34</v>
      </c>
      <c r="F54">
        <v>1</v>
      </c>
      <c r="G54">
        <v>5</v>
      </c>
      <c r="H54">
        <v>4.87</v>
      </c>
      <c r="I54">
        <v>3.76</v>
      </c>
      <c r="J54">
        <v>4.33</v>
      </c>
      <c r="K54" s="2">
        <f t="shared" si="0"/>
        <v>0.75473441108545036</v>
      </c>
      <c r="L54">
        <f t="shared" si="1"/>
        <v>1</v>
      </c>
    </row>
    <row r="55" spans="1:12" x14ac:dyDescent="0.2">
      <c r="A55" t="s">
        <v>64</v>
      </c>
      <c r="B55" t="s">
        <v>11</v>
      </c>
      <c r="C55">
        <v>96.25</v>
      </c>
      <c r="D55">
        <v>1</v>
      </c>
      <c r="E55">
        <v>16.920000000000002</v>
      </c>
      <c r="F55">
        <v>1</v>
      </c>
      <c r="G55">
        <v>172</v>
      </c>
      <c r="H55">
        <v>167.76</v>
      </c>
      <c r="I55">
        <v>10.88</v>
      </c>
      <c r="J55">
        <v>24.37</v>
      </c>
      <c r="K55" s="2">
        <f t="shared" si="0"/>
        <v>0.17579220779220781</v>
      </c>
      <c r="L55">
        <f t="shared" si="1"/>
        <v>0</v>
      </c>
    </row>
    <row r="56" spans="1:12" x14ac:dyDescent="0.2">
      <c r="A56" t="s">
        <v>65</v>
      </c>
      <c r="B56" t="s">
        <v>11</v>
      </c>
      <c r="C56">
        <v>11.86</v>
      </c>
      <c r="D56">
        <v>1</v>
      </c>
      <c r="E56">
        <v>6.07</v>
      </c>
      <c r="F56">
        <v>0</v>
      </c>
      <c r="G56">
        <v>4</v>
      </c>
      <c r="H56">
        <v>8.51</v>
      </c>
      <c r="I56">
        <v>2.0699999999999998</v>
      </c>
      <c r="J56">
        <v>5.04</v>
      </c>
      <c r="K56" s="2">
        <f t="shared" si="0"/>
        <v>0.51180438448566612</v>
      </c>
      <c r="L56">
        <f t="shared" si="1"/>
        <v>1</v>
      </c>
    </row>
    <row r="57" spans="1:12" x14ac:dyDescent="0.2">
      <c r="A57" t="s">
        <v>66</v>
      </c>
      <c r="B57" t="s">
        <v>11</v>
      </c>
      <c r="C57">
        <v>14.56</v>
      </c>
      <c r="D57">
        <v>0</v>
      </c>
      <c r="E57">
        <v>5.21</v>
      </c>
      <c r="F57">
        <v>0</v>
      </c>
      <c r="G57">
        <v>32</v>
      </c>
      <c r="H57">
        <v>21.17</v>
      </c>
      <c r="I57">
        <v>2.14</v>
      </c>
      <c r="J57">
        <v>6.19</v>
      </c>
      <c r="K57" s="2">
        <f t="shared" si="0"/>
        <v>0.35782967032967034</v>
      </c>
      <c r="L57">
        <f t="shared" si="1"/>
        <v>0</v>
      </c>
    </row>
    <row r="58" spans="1:12" x14ac:dyDescent="0.2">
      <c r="A58" t="s">
        <v>67</v>
      </c>
      <c r="B58" t="s">
        <v>11</v>
      </c>
      <c r="C58">
        <v>22.19</v>
      </c>
      <c r="D58">
        <v>0</v>
      </c>
      <c r="E58">
        <v>5.05</v>
      </c>
      <c r="F58">
        <v>1</v>
      </c>
      <c r="G58">
        <v>25</v>
      </c>
      <c r="H58">
        <v>35.32</v>
      </c>
      <c r="I58">
        <v>4.26</v>
      </c>
      <c r="J58">
        <v>23.87</v>
      </c>
      <c r="K58" s="2">
        <f t="shared" si="0"/>
        <v>0.22757999098693102</v>
      </c>
      <c r="L58">
        <f t="shared" si="1"/>
        <v>0</v>
      </c>
    </row>
    <row r="59" spans="1:12" x14ac:dyDescent="0.2">
      <c r="A59" t="s">
        <v>68</v>
      </c>
      <c r="B59" t="s">
        <v>11</v>
      </c>
      <c r="C59">
        <v>46.57</v>
      </c>
      <c r="D59">
        <v>0</v>
      </c>
      <c r="E59">
        <v>17.25</v>
      </c>
      <c r="F59">
        <v>0</v>
      </c>
      <c r="G59">
        <v>184</v>
      </c>
      <c r="H59">
        <v>111.35</v>
      </c>
      <c r="I59">
        <v>8.59</v>
      </c>
      <c r="J59">
        <v>19.89</v>
      </c>
      <c r="K59" s="2">
        <f t="shared" si="0"/>
        <v>0.37041013528022332</v>
      </c>
      <c r="L59">
        <f t="shared" si="1"/>
        <v>0</v>
      </c>
    </row>
    <row r="60" spans="1:12" x14ac:dyDescent="0.2">
      <c r="A60" t="s">
        <v>69</v>
      </c>
      <c r="B60" t="s">
        <v>11</v>
      </c>
      <c r="C60">
        <v>151.44</v>
      </c>
      <c r="D60">
        <v>1</v>
      </c>
      <c r="E60">
        <v>50.49</v>
      </c>
      <c r="F60">
        <v>1</v>
      </c>
      <c r="G60">
        <v>228</v>
      </c>
      <c r="H60">
        <v>179.01</v>
      </c>
      <c r="I60">
        <v>7.61</v>
      </c>
      <c r="J60">
        <v>35.229999999999997</v>
      </c>
      <c r="K60" s="2">
        <f t="shared" si="0"/>
        <v>0.33339936608557846</v>
      </c>
      <c r="L60">
        <f t="shared" si="1"/>
        <v>0</v>
      </c>
    </row>
    <row r="61" spans="1:12" x14ac:dyDescent="0.2">
      <c r="A61" t="s">
        <v>70</v>
      </c>
      <c r="B61" t="s">
        <v>11</v>
      </c>
      <c r="C61">
        <v>17.28</v>
      </c>
      <c r="D61">
        <v>1</v>
      </c>
      <c r="E61">
        <v>5.34</v>
      </c>
      <c r="F61">
        <v>1</v>
      </c>
      <c r="G61">
        <v>8</v>
      </c>
      <c r="H61">
        <v>8.91</v>
      </c>
      <c r="I61">
        <v>1.67</v>
      </c>
      <c r="J61">
        <v>6.64</v>
      </c>
      <c r="K61" s="2">
        <f t="shared" si="0"/>
        <v>0.30902777777777773</v>
      </c>
      <c r="L61">
        <f t="shared" si="1"/>
        <v>0</v>
      </c>
    </row>
    <row r="62" spans="1:12" x14ac:dyDescent="0.2">
      <c r="A62" t="s">
        <v>71</v>
      </c>
      <c r="B62" t="s">
        <v>72</v>
      </c>
      <c r="C62">
        <v>790.36</v>
      </c>
      <c r="D62">
        <v>0</v>
      </c>
      <c r="E62">
        <v>492.08</v>
      </c>
      <c r="F62">
        <v>0</v>
      </c>
      <c r="G62">
        <v>953</v>
      </c>
      <c r="H62">
        <v>828.58</v>
      </c>
      <c r="I62">
        <v>10.33</v>
      </c>
      <c r="J62">
        <v>96.98</v>
      </c>
      <c r="K62" s="2">
        <f t="shared" si="0"/>
        <v>0.62260235841894829</v>
      </c>
      <c r="L62">
        <f t="shared" si="1"/>
        <v>1</v>
      </c>
    </row>
    <row r="63" spans="1:12" x14ac:dyDescent="0.2">
      <c r="A63" t="s">
        <v>73</v>
      </c>
      <c r="B63" t="s">
        <v>72</v>
      </c>
      <c r="C63">
        <v>1.36</v>
      </c>
      <c r="D63">
        <v>1</v>
      </c>
      <c r="E63">
        <v>0.62</v>
      </c>
      <c r="F63">
        <v>1</v>
      </c>
      <c r="G63">
        <v>7</v>
      </c>
      <c r="H63">
        <v>11.94</v>
      </c>
      <c r="I63">
        <v>3.01</v>
      </c>
      <c r="J63">
        <v>4.1100000000000003</v>
      </c>
      <c r="K63" s="2">
        <f t="shared" si="0"/>
        <v>0.45588235294117646</v>
      </c>
      <c r="L63">
        <f t="shared" si="1"/>
        <v>0</v>
      </c>
    </row>
    <row r="64" spans="1:12" x14ac:dyDescent="0.2">
      <c r="A64" t="s">
        <v>74</v>
      </c>
      <c r="B64" t="s">
        <v>72</v>
      </c>
      <c r="C64">
        <v>7.3</v>
      </c>
      <c r="D64">
        <v>0</v>
      </c>
      <c r="E64">
        <v>4.3099999999999996</v>
      </c>
      <c r="F64">
        <v>1</v>
      </c>
      <c r="G64">
        <v>3</v>
      </c>
      <c r="H64">
        <v>8.6199999999999992</v>
      </c>
      <c r="I64">
        <v>3.02</v>
      </c>
      <c r="J64">
        <v>2.4500000000000002</v>
      </c>
      <c r="K64" s="2">
        <f t="shared" si="0"/>
        <v>0.59041095890410955</v>
      </c>
      <c r="L64">
        <f t="shared" si="1"/>
        <v>1</v>
      </c>
    </row>
    <row r="65" spans="1:12" x14ac:dyDescent="0.2">
      <c r="A65" t="s">
        <v>75</v>
      </c>
      <c r="B65" t="s">
        <v>72</v>
      </c>
      <c r="C65">
        <v>7.58</v>
      </c>
      <c r="D65">
        <v>0</v>
      </c>
      <c r="E65">
        <v>5.89</v>
      </c>
      <c r="F65">
        <v>1</v>
      </c>
      <c r="G65">
        <v>7</v>
      </c>
      <c r="H65">
        <v>6.52</v>
      </c>
      <c r="I65">
        <v>1.73</v>
      </c>
      <c r="J65">
        <v>7</v>
      </c>
      <c r="K65" s="2">
        <f t="shared" si="0"/>
        <v>0.7770448548812664</v>
      </c>
      <c r="L65">
        <f t="shared" si="1"/>
        <v>1</v>
      </c>
    </row>
    <row r="66" spans="1:12" x14ac:dyDescent="0.2">
      <c r="A66" t="s">
        <v>76</v>
      </c>
      <c r="B66" t="s">
        <v>72</v>
      </c>
      <c r="C66">
        <v>133.16</v>
      </c>
      <c r="D66">
        <v>0</v>
      </c>
      <c r="E66">
        <v>42.04</v>
      </c>
      <c r="F66">
        <v>1</v>
      </c>
      <c r="G66">
        <v>150</v>
      </c>
      <c r="H66">
        <v>190.43</v>
      </c>
      <c r="I66">
        <v>5.23</v>
      </c>
      <c r="J66">
        <v>18.940000000000001</v>
      </c>
      <c r="K66" s="2">
        <f t="shared" si="0"/>
        <v>0.31571042355061579</v>
      </c>
      <c r="L66">
        <f t="shared" si="1"/>
        <v>0</v>
      </c>
    </row>
    <row r="67" spans="1:12" x14ac:dyDescent="0.2">
      <c r="A67" t="s">
        <v>77</v>
      </c>
      <c r="B67" t="s">
        <v>72</v>
      </c>
      <c r="C67">
        <v>143.97999999999999</v>
      </c>
      <c r="D67">
        <v>0</v>
      </c>
      <c r="E67">
        <v>63.11</v>
      </c>
      <c r="F67">
        <v>0</v>
      </c>
      <c r="G67">
        <v>131</v>
      </c>
      <c r="H67">
        <v>222.49</v>
      </c>
      <c r="I67">
        <v>6.4</v>
      </c>
      <c r="J67">
        <v>18.07</v>
      </c>
      <c r="K67" s="2">
        <f t="shared" ref="K67:K130" si="2">E67/C67</f>
        <v>0.43832476732879572</v>
      </c>
      <c r="L67">
        <f t="shared" ref="L67:L130" si="3">IF(K67&gt;0.5,1,0)</f>
        <v>0</v>
      </c>
    </row>
    <row r="68" spans="1:12" x14ac:dyDescent="0.2">
      <c r="A68" t="s">
        <v>78</v>
      </c>
      <c r="B68" t="s">
        <v>72</v>
      </c>
      <c r="C68">
        <v>857.23</v>
      </c>
      <c r="D68">
        <v>0</v>
      </c>
      <c r="E68">
        <v>458.14</v>
      </c>
      <c r="F68">
        <v>1</v>
      </c>
      <c r="G68">
        <v>898</v>
      </c>
      <c r="H68">
        <v>996.42</v>
      </c>
      <c r="I68">
        <v>10.19</v>
      </c>
      <c r="J68">
        <v>94.3</v>
      </c>
      <c r="K68" s="2">
        <f t="shared" si="2"/>
        <v>0.53444233169627753</v>
      </c>
      <c r="L68">
        <f t="shared" si="3"/>
        <v>1</v>
      </c>
    </row>
    <row r="69" spans="1:12" x14ac:dyDescent="0.2">
      <c r="A69" t="s">
        <v>79</v>
      </c>
      <c r="B69" t="s">
        <v>72</v>
      </c>
      <c r="C69">
        <v>76.23</v>
      </c>
      <c r="D69">
        <v>0</v>
      </c>
      <c r="E69">
        <v>52.97</v>
      </c>
      <c r="F69">
        <v>1</v>
      </c>
      <c r="G69">
        <v>36</v>
      </c>
      <c r="H69">
        <v>38.42</v>
      </c>
      <c r="I69">
        <v>2.41</v>
      </c>
      <c r="J69">
        <v>10.119999999999999</v>
      </c>
      <c r="K69" s="2">
        <f t="shared" si="2"/>
        <v>0.6948707857798766</v>
      </c>
      <c r="L69">
        <f t="shared" si="3"/>
        <v>1</v>
      </c>
    </row>
    <row r="70" spans="1:12" x14ac:dyDescent="0.2">
      <c r="A70" t="s">
        <v>80</v>
      </c>
      <c r="B70" t="s">
        <v>72</v>
      </c>
      <c r="C70">
        <v>131.44</v>
      </c>
      <c r="D70">
        <v>1</v>
      </c>
      <c r="E70">
        <v>68.95</v>
      </c>
      <c r="F70">
        <v>1</v>
      </c>
      <c r="G70">
        <v>156</v>
      </c>
      <c r="H70">
        <v>266.14</v>
      </c>
      <c r="I70">
        <v>11.74</v>
      </c>
      <c r="J70">
        <v>23.12</v>
      </c>
      <c r="K70" s="2">
        <f t="shared" si="2"/>
        <v>0.52457395009129648</v>
      </c>
      <c r="L70">
        <f t="shared" si="3"/>
        <v>1</v>
      </c>
    </row>
    <row r="71" spans="1:12" x14ac:dyDescent="0.2">
      <c r="A71" t="s">
        <v>81</v>
      </c>
      <c r="B71" t="s">
        <v>72</v>
      </c>
      <c r="C71">
        <v>64.319999999999993</v>
      </c>
      <c r="D71">
        <v>0</v>
      </c>
      <c r="E71">
        <v>21.51</v>
      </c>
      <c r="F71">
        <v>1</v>
      </c>
      <c r="G71">
        <v>144</v>
      </c>
      <c r="H71">
        <v>47.75</v>
      </c>
      <c r="I71">
        <v>4.41</v>
      </c>
      <c r="J71">
        <v>37.200000000000003</v>
      </c>
      <c r="K71" s="2">
        <f t="shared" si="2"/>
        <v>0.33442164179104483</v>
      </c>
      <c r="L71">
        <f t="shared" si="3"/>
        <v>0</v>
      </c>
    </row>
    <row r="72" spans="1:12" x14ac:dyDescent="0.2">
      <c r="A72" t="s">
        <v>82</v>
      </c>
      <c r="B72" t="s">
        <v>72</v>
      </c>
      <c r="C72">
        <v>40.479999999999997</v>
      </c>
      <c r="D72">
        <v>1</v>
      </c>
      <c r="E72">
        <v>14.25</v>
      </c>
      <c r="F72">
        <v>1</v>
      </c>
      <c r="G72">
        <v>37</v>
      </c>
      <c r="H72">
        <v>17.420000000000002</v>
      </c>
      <c r="I72">
        <v>5.87</v>
      </c>
      <c r="J72">
        <v>4.4400000000000004</v>
      </c>
      <c r="K72" s="2">
        <f t="shared" si="2"/>
        <v>0.35202569169960479</v>
      </c>
      <c r="L72">
        <f t="shared" si="3"/>
        <v>0</v>
      </c>
    </row>
    <row r="73" spans="1:12" x14ac:dyDescent="0.2">
      <c r="A73" t="s">
        <v>83</v>
      </c>
      <c r="B73" t="s">
        <v>72</v>
      </c>
      <c r="C73">
        <v>128.55000000000001</v>
      </c>
      <c r="D73">
        <v>0</v>
      </c>
      <c r="E73">
        <v>103.18</v>
      </c>
      <c r="F73">
        <v>0</v>
      </c>
      <c r="G73">
        <v>311</v>
      </c>
      <c r="H73">
        <v>73.47</v>
      </c>
      <c r="I73">
        <v>3.61</v>
      </c>
      <c r="J73">
        <v>32.06</v>
      </c>
      <c r="K73" s="2">
        <f t="shared" si="2"/>
        <v>0.80264488525865418</v>
      </c>
      <c r="L73">
        <f t="shared" si="3"/>
        <v>1</v>
      </c>
    </row>
    <row r="74" spans="1:12" x14ac:dyDescent="0.2">
      <c r="A74" t="s">
        <v>84</v>
      </c>
      <c r="B74" t="s">
        <v>72</v>
      </c>
      <c r="C74">
        <v>141.52000000000001</v>
      </c>
      <c r="D74">
        <v>1</v>
      </c>
      <c r="E74">
        <v>59.32</v>
      </c>
      <c r="F74">
        <v>1</v>
      </c>
      <c r="G74">
        <v>173</v>
      </c>
      <c r="H74">
        <v>215.39</v>
      </c>
      <c r="I74">
        <v>7.49</v>
      </c>
      <c r="J74">
        <v>18.690000000000001</v>
      </c>
      <c r="K74" s="2">
        <f t="shared" si="2"/>
        <v>0.41916336913510455</v>
      </c>
      <c r="L74">
        <f t="shared" si="3"/>
        <v>0</v>
      </c>
    </row>
    <row r="75" spans="1:12" x14ac:dyDescent="0.2">
      <c r="A75" t="s">
        <v>85</v>
      </c>
      <c r="B75" t="s">
        <v>72</v>
      </c>
      <c r="C75">
        <v>765.17</v>
      </c>
      <c r="D75">
        <v>0</v>
      </c>
      <c r="E75">
        <v>408.94</v>
      </c>
      <c r="F75">
        <v>1</v>
      </c>
      <c r="G75">
        <v>703</v>
      </c>
      <c r="H75">
        <v>1100.9100000000001</v>
      </c>
      <c r="I75">
        <v>15.4</v>
      </c>
      <c r="J75">
        <v>77.16</v>
      </c>
      <c r="K75" s="2">
        <f t="shared" si="2"/>
        <v>0.53444332631964142</v>
      </c>
      <c r="L75">
        <f t="shared" si="3"/>
        <v>1</v>
      </c>
    </row>
    <row r="76" spans="1:12" x14ac:dyDescent="0.2">
      <c r="A76" t="s">
        <v>86</v>
      </c>
      <c r="B76" t="s">
        <v>72</v>
      </c>
      <c r="C76">
        <v>3.74</v>
      </c>
      <c r="D76">
        <v>0</v>
      </c>
      <c r="E76">
        <v>1.26</v>
      </c>
      <c r="F76">
        <v>1</v>
      </c>
      <c r="G76">
        <v>4</v>
      </c>
      <c r="H76">
        <v>10.85</v>
      </c>
      <c r="I76">
        <v>1.1200000000000001</v>
      </c>
      <c r="J76">
        <v>8.06</v>
      </c>
      <c r="K76" s="2">
        <f t="shared" si="2"/>
        <v>0.33689839572192509</v>
      </c>
      <c r="L76">
        <f t="shared" si="3"/>
        <v>0</v>
      </c>
    </row>
    <row r="77" spans="1:12" x14ac:dyDescent="0.2">
      <c r="A77" t="s">
        <v>87</v>
      </c>
      <c r="B77" t="s">
        <v>72</v>
      </c>
      <c r="C77">
        <v>57.61</v>
      </c>
      <c r="D77">
        <v>0</v>
      </c>
      <c r="E77">
        <v>25.43</v>
      </c>
      <c r="F77">
        <v>1</v>
      </c>
      <c r="G77">
        <v>37</v>
      </c>
      <c r="H77">
        <v>25.16</v>
      </c>
      <c r="I77">
        <v>3.45</v>
      </c>
      <c r="J77">
        <v>13.15</v>
      </c>
      <c r="K77" s="2">
        <f t="shared" si="2"/>
        <v>0.44141642076028464</v>
      </c>
      <c r="L77">
        <f t="shared" si="3"/>
        <v>0</v>
      </c>
    </row>
    <row r="78" spans="1:12" x14ac:dyDescent="0.2">
      <c r="A78" t="s">
        <v>88</v>
      </c>
      <c r="B78" t="s">
        <v>72</v>
      </c>
      <c r="C78">
        <v>38.630000000000003</v>
      </c>
      <c r="D78">
        <v>1</v>
      </c>
      <c r="E78">
        <v>19.8</v>
      </c>
      <c r="F78">
        <v>1</v>
      </c>
      <c r="G78">
        <v>23</v>
      </c>
      <c r="H78">
        <v>26.18</v>
      </c>
      <c r="I78">
        <v>2.95</v>
      </c>
      <c r="J78">
        <v>23.28</v>
      </c>
      <c r="K78" s="2">
        <f t="shared" si="2"/>
        <v>0.51255500906031581</v>
      </c>
      <c r="L78">
        <f t="shared" si="3"/>
        <v>1</v>
      </c>
    </row>
    <row r="79" spans="1:12" x14ac:dyDescent="0.2">
      <c r="A79" t="s">
        <v>89</v>
      </c>
      <c r="B79" t="s">
        <v>72</v>
      </c>
      <c r="C79">
        <v>98.06</v>
      </c>
      <c r="D79">
        <v>1</v>
      </c>
      <c r="E79">
        <v>51.94</v>
      </c>
      <c r="F79">
        <v>0</v>
      </c>
      <c r="G79">
        <v>87</v>
      </c>
      <c r="H79">
        <v>158.25</v>
      </c>
      <c r="I79">
        <v>6.51</v>
      </c>
      <c r="J79">
        <v>58.62</v>
      </c>
      <c r="K79" s="2">
        <f t="shared" si="2"/>
        <v>0.52967570874974501</v>
      </c>
      <c r="L79">
        <f t="shared" si="3"/>
        <v>1</v>
      </c>
    </row>
    <row r="80" spans="1:12" x14ac:dyDescent="0.2">
      <c r="A80" t="s">
        <v>90</v>
      </c>
      <c r="B80" t="s">
        <v>72</v>
      </c>
      <c r="C80">
        <v>1.33</v>
      </c>
      <c r="D80">
        <v>1</v>
      </c>
      <c r="E80">
        <v>0.95</v>
      </c>
      <c r="F80">
        <v>1</v>
      </c>
      <c r="G80">
        <v>5</v>
      </c>
      <c r="H80">
        <v>2.61</v>
      </c>
      <c r="I80">
        <v>2.97</v>
      </c>
      <c r="J80">
        <v>2</v>
      </c>
      <c r="K80" s="2">
        <f t="shared" si="2"/>
        <v>0.71428571428571419</v>
      </c>
      <c r="L80">
        <f t="shared" si="3"/>
        <v>1</v>
      </c>
    </row>
    <row r="81" spans="1:12" x14ac:dyDescent="0.2">
      <c r="A81" t="s">
        <v>91</v>
      </c>
      <c r="B81" t="s">
        <v>72</v>
      </c>
      <c r="C81">
        <v>40.22</v>
      </c>
      <c r="D81">
        <v>1</v>
      </c>
      <c r="E81">
        <v>11.91</v>
      </c>
      <c r="F81">
        <v>0</v>
      </c>
      <c r="G81">
        <v>38</v>
      </c>
      <c r="H81">
        <v>33.71</v>
      </c>
      <c r="I81">
        <v>5.04</v>
      </c>
      <c r="J81">
        <v>9.8699999999999992</v>
      </c>
      <c r="K81" s="2">
        <f t="shared" si="2"/>
        <v>0.29612133267031326</v>
      </c>
      <c r="L81">
        <f t="shared" si="3"/>
        <v>0</v>
      </c>
    </row>
    <row r="82" spans="1:12" x14ac:dyDescent="0.2">
      <c r="A82" t="s">
        <v>92</v>
      </c>
      <c r="B82" t="s">
        <v>72</v>
      </c>
      <c r="C82">
        <v>9.02</v>
      </c>
      <c r="D82">
        <v>0</v>
      </c>
      <c r="E82">
        <v>4.43</v>
      </c>
      <c r="F82">
        <v>1</v>
      </c>
      <c r="G82">
        <v>4</v>
      </c>
      <c r="H82">
        <v>8.48</v>
      </c>
      <c r="I82">
        <v>3.09</v>
      </c>
      <c r="J82">
        <v>4.24</v>
      </c>
      <c r="K82" s="2">
        <f t="shared" si="2"/>
        <v>0.4911308203991131</v>
      </c>
      <c r="L82">
        <f t="shared" si="3"/>
        <v>0</v>
      </c>
    </row>
    <row r="83" spans="1:12" x14ac:dyDescent="0.2">
      <c r="A83" t="s">
        <v>93</v>
      </c>
      <c r="B83" t="s">
        <v>72</v>
      </c>
      <c r="C83">
        <v>114.85</v>
      </c>
      <c r="D83">
        <v>1</v>
      </c>
      <c r="E83">
        <v>69.98</v>
      </c>
      <c r="F83">
        <v>0</v>
      </c>
      <c r="G83">
        <v>279</v>
      </c>
      <c r="H83">
        <v>155.91999999999999</v>
      </c>
      <c r="I83">
        <v>6.3</v>
      </c>
      <c r="J83">
        <v>16.63</v>
      </c>
      <c r="K83" s="2">
        <f t="shared" si="2"/>
        <v>0.60931649978232483</v>
      </c>
      <c r="L83">
        <f t="shared" si="3"/>
        <v>1</v>
      </c>
    </row>
    <row r="84" spans="1:12" x14ac:dyDescent="0.2">
      <c r="A84" t="s">
        <v>94</v>
      </c>
      <c r="B84" t="s">
        <v>72</v>
      </c>
      <c r="C84">
        <v>104.84</v>
      </c>
      <c r="D84">
        <v>0</v>
      </c>
      <c r="E84">
        <v>52.49</v>
      </c>
      <c r="F84">
        <v>1</v>
      </c>
      <c r="G84">
        <v>109</v>
      </c>
      <c r="H84">
        <v>262.86</v>
      </c>
      <c r="I84">
        <v>5.41</v>
      </c>
      <c r="J84">
        <v>38.200000000000003</v>
      </c>
      <c r="K84" s="2">
        <f t="shared" si="2"/>
        <v>0.50066768409004192</v>
      </c>
      <c r="L84">
        <f t="shared" si="3"/>
        <v>1</v>
      </c>
    </row>
    <row r="85" spans="1:12" x14ac:dyDescent="0.2">
      <c r="A85" t="s">
        <v>95</v>
      </c>
      <c r="B85" t="s">
        <v>72</v>
      </c>
      <c r="C85">
        <v>61.93</v>
      </c>
      <c r="D85">
        <v>0</v>
      </c>
      <c r="E85">
        <v>31.37</v>
      </c>
      <c r="F85">
        <v>1</v>
      </c>
      <c r="G85">
        <v>25</v>
      </c>
      <c r="H85">
        <v>30.91</v>
      </c>
      <c r="I85">
        <v>3.34</v>
      </c>
      <c r="J85">
        <v>10.66</v>
      </c>
      <c r="K85" s="2">
        <f t="shared" si="2"/>
        <v>0.50653964153076059</v>
      </c>
      <c r="L85">
        <f t="shared" si="3"/>
        <v>1</v>
      </c>
    </row>
    <row r="86" spans="1:12" x14ac:dyDescent="0.2">
      <c r="A86" t="s">
        <v>96</v>
      </c>
      <c r="B86" t="s">
        <v>72</v>
      </c>
      <c r="C86">
        <v>117.58</v>
      </c>
      <c r="D86">
        <v>0</v>
      </c>
      <c r="E86">
        <v>51.06</v>
      </c>
      <c r="F86">
        <v>0</v>
      </c>
      <c r="G86">
        <v>166</v>
      </c>
      <c r="H86">
        <v>308.55</v>
      </c>
      <c r="I86">
        <v>3.89</v>
      </c>
      <c r="J86">
        <v>50.65</v>
      </c>
      <c r="K86" s="2">
        <f t="shared" si="2"/>
        <v>0.43425752679027046</v>
      </c>
      <c r="L86">
        <f t="shared" si="3"/>
        <v>0</v>
      </c>
    </row>
    <row r="87" spans="1:12" x14ac:dyDescent="0.2">
      <c r="A87" t="s">
        <v>97</v>
      </c>
      <c r="B87" t="s">
        <v>72</v>
      </c>
      <c r="C87">
        <v>111.8</v>
      </c>
      <c r="D87">
        <v>0</v>
      </c>
      <c r="E87">
        <v>80.66</v>
      </c>
      <c r="F87">
        <v>1</v>
      </c>
      <c r="G87">
        <v>259</v>
      </c>
      <c r="H87">
        <v>109.06</v>
      </c>
      <c r="I87">
        <v>4.1500000000000004</v>
      </c>
      <c r="J87">
        <v>48.32</v>
      </c>
      <c r="K87" s="2">
        <f t="shared" si="2"/>
        <v>0.72146690518783541</v>
      </c>
      <c r="L87">
        <f t="shared" si="3"/>
        <v>1</v>
      </c>
    </row>
    <row r="88" spans="1:12" x14ac:dyDescent="0.2">
      <c r="A88" t="s">
        <v>98</v>
      </c>
      <c r="B88" t="s">
        <v>72</v>
      </c>
      <c r="C88">
        <v>6.13</v>
      </c>
      <c r="D88">
        <v>0</v>
      </c>
      <c r="E88">
        <v>2.29</v>
      </c>
      <c r="F88">
        <v>0</v>
      </c>
      <c r="G88">
        <v>6</v>
      </c>
      <c r="H88">
        <v>8.16</v>
      </c>
      <c r="I88">
        <v>2.2400000000000002</v>
      </c>
      <c r="J88">
        <v>3.39</v>
      </c>
      <c r="K88" s="2">
        <f t="shared" si="2"/>
        <v>0.37357259380097879</v>
      </c>
      <c r="L88">
        <f t="shared" si="3"/>
        <v>0</v>
      </c>
    </row>
    <row r="89" spans="1:12" x14ac:dyDescent="0.2">
      <c r="A89" t="s">
        <v>99</v>
      </c>
      <c r="B89" t="s">
        <v>72</v>
      </c>
      <c r="C89">
        <v>24.69</v>
      </c>
      <c r="D89">
        <v>1</v>
      </c>
      <c r="E89">
        <v>9.56</v>
      </c>
      <c r="F89">
        <v>1</v>
      </c>
      <c r="G89">
        <v>26</v>
      </c>
      <c r="H89">
        <v>37.6</v>
      </c>
      <c r="I89">
        <v>6.48</v>
      </c>
      <c r="J89">
        <v>9.58</v>
      </c>
      <c r="K89" s="2">
        <f t="shared" si="2"/>
        <v>0.3872012960712839</v>
      </c>
      <c r="L89">
        <f t="shared" si="3"/>
        <v>0</v>
      </c>
    </row>
    <row r="90" spans="1:12" x14ac:dyDescent="0.2">
      <c r="A90" t="s">
        <v>100</v>
      </c>
      <c r="B90" t="s">
        <v>72</v>
      </c>
      <c r="C90">
        <v>35.21</v>
      </c>
      <c r="D90">
        <v>1</v>
      </c>
      <c r="E90">
        <v>23.87</v>
      </c>
      <c r="F90">
        <v>1</v>
      </c>
      <c r="G90">
        <v>198</v>
      </c>
      <c r="H90">
        <v>332.65</v>
      </c>
      <c r="I90">
        <v>6.31</v>
      </c>
      <c r="J90">
        <v>36.15</v>
      </c>
      <c r="K90" s="2">
        <f t="shared" si="2"/>
        <v>0.67793240556660039</v>
      </c>
      <c r="L90">
        <f t="shared" si="3"/>
        <v>1</v>
      </c>
    </row>
    <row r="91" spans="1:12" x14ac:dyDescent="0.2">
      <c r="A91" t="s">
        <v>101</v>
      </c>
      <c r="B91" t="s">
        <v>72</v>
      </c>
      <c r="C91">
        <v>751.96</v>
      </c>
      <c r="D91">
        <v>0</v>
      </c>
      <c r="E91">
        <v>399.74</v>
      </c>
      <c r="F91">
        <v>1</v>
      </c>
      <c r="G91">
        <v>816</v>
      </c>
      <c r="H91">
        <v>159.43</v>
      </c>
      <c r="I91">
        <v>5.84</v>
      </c>
      <c r="J91">
        <v>65.569999999999993</v>
      </c>
      <c r="K91" s="2">
        <f t="shared" si="2"/>
        <v>0.53159742539496779</v>
      </c>
      <c r="L91">
        <f t="shared" si="3"/>
        <v>1</v>
      </c>
    </row>
    <row r="92" spans="1:12" x14ac:dyDescent="0.2">
      <c r="A92" t="s">
        <v>102</v>
      </c>
      <c r="B92" t="s">
        <v>72</v>
      </c>
      <c r="C92">
        <v>15.01</v>
      </c>
      <c r="D92">
        <v>0</v>
      </c>
      <c r="E92">
        <v>5.84</v>
      </c>
      <c r="F92">
        <v>0</v>
      </c>
      <c r="G92">
        <v>6</v>
      </c>
      <c r="H92">
        <v>5.4</v>
      </c>
      <c r="I92">
        <v>1.21</v>
      </c>
      <c r="J92">
        <v>7.12</v>
      </c>
      <c r="K92" s="2">
        <f t="shared" si="2"/>
        <v>0.38907395069953365</v>
      </c>
      <c r="L92">
        <f t="shared" si="3"/>
        <v>0</v>
      </c>
    </row>
    <row r="93" spans="1:12" x14ac:dyDescent="0.2">
      <c r="A93" t="s">
        <v>103</v>
      </c>
      <c r="B93" t="s">
        <v>72</v>
      </c>
      <c r="C93">
        <v>7.58</v>
      </c>
      <c r="D93">
        <v>0</v>
      </c>
      <c r="E93">
        <v>2.82</v>
      </c>
      <c r="F93">
        <v>1</v>
      </c>
      <c r="G93">
        <v>7</v>
      </c>
      <c r="H93">
        <v>7.32</v>
      </c>
      <c r="I93">
        <v>2.8</v>
      </c>
      <c r="J93">
        <v>5.26</v>
      </c>
      <c r="K93" s="2">
        <f t="shared" si="2"/>
        <v>0.37203166226912926</v>
      </c>
      <c r="L93">
        <f t="shared" si="3"/>
        <v>0</v>
      </c>
    </row>
    <row r="94" spans="1:12" x14ac:dyDescent="0.2">
      <c r="A94" t="s">
        <v>104</v>
      </c>
      <c r="B94" t="s">
        <v>72</v>
      </c>
      <c r="C94">
        <v>70.2</v>
      </c>
      <c r="D94">
        <v>0</v>
      </c>
      <c r="E94">
        <v>43.4</v>
      </c>
      <c r="F94">
        <v>1</v>
      </c>
      <c r="G94">
        <v>29</v>
      </c>
      <c r="H94">
        <v>30.68</v>
      </c>
      <c r="I94">
        <v>2.89</v>
      </c>
      <c r="J94">
        <v>17.97</v>
      </c>
      <c r="K94" s="2">
        <f t="shared" si="2"/>
        <v>0.61823361823361822</v>
      </c>
      <c r="L94">
        <f t="shared" si="3"/>
        <v>1</v>
      </c>
    </row>
    <row r="95" spans="1:12" x14ac:dyDescent="0.2">
      <c r="A95" t="s">
        <v>105</v>
      </c>
      <c r="B95" t="s">
        <v>72</v>
      </c>
      <c r="C95">
        <v>16.440000000000001</v>
      </c>
      <c r="D95">
        <v>0</v>
      </c>
      <c r="E95">
        <v>6.93</v>
      </c>
      <c r="F95">
        <v>0</v>
      </c>
      <c r="G95">
        <v>6</v>
      </c>
      <c r="H95">
        <v>6.84</v>
      </c>
      <c r="I95">
        <v>1.59</v>
      </c>
      <c r="J95">
        <v>6.2</v>
      </c>
      <c r="K95" s="2">
        <f t="shared" si="2"/>
        <v>0.42153284671532842</v>
      </c>
      <c r="L95">
        <f t="shared" si="3"/>
        <v>0</v>
      </c>
    </row>
    <row r="96" spans="1:12" x14ac:dyDescent="0.2">
      <c r="A96" t="s">
        <v>106</v>
      </c>
      <c r="B96" t="s">
        <v>72</v>
      </c>
      <c r="C96">
        <v>62.62</v>
      </c>
      <c r="D96">
        <v>0</v>
      </c>
      <c r="E96">
        <v>30.59</v>
      </c>
      <c r="F96">
        <v>0</v>
      </c>
      <c r="G96">
        <v>192</v>
      </c>
      <c r="H96">
        <v>353.06</v>
      </c>
      <c r="I96">
        <v>7.22</v>
      </c>
      <c r="J96">
        <v>75.86</v>
      </c>
      <c r="K96" s="2">
        <f t="shared" si="2"/>
        <v>0.48850207601405304</v>
      </c>
      <c r="L96">
        <f t="shared" si="3"/>
        <v>0</v>
      </c>
    </row>
    <row r="97" spans="1:12" x14ac:dyDescent="0.2">
      <c r="A97" t="s">
        <v>107</v>
      </c>
      <c r="B97" t="s">
        <v>72</v>
      </c>
      <c r="C97">
        <v>83.78</v>
      </c>
      <c r="D97">
        <v>0</v>
      </c>
      <c r="E97">
        <v>14.58</v>
      </c>
      <c r="F97">
        <v>1</v>
      </c>
      <c r="G97">
        <v>211</v>
      </c>
      <c r="H97">
        <v>197.04</v>
      </c>
      <c r="I97">
        <v>3.6</v>
      </c>
      <c r="J97">
        <v>44.95</v>
      </c>
      <c r="K97" s="2">
        <f t="shared" si="2"/>
        <v>0.17402721413225114</v>
      </c>
      <c r="L97">
        <f t="shared" si="3"/>
        <v>0</v>
      </c>
    </row>
    <row r="98" spans="1:12" x14ac:dyDescent="0.2">
      <c r="A98" t="s">
        <v>108</v>
      </c>
      <c r="B98" t="s">
        <v>72</v>
      </c>
      <c r="C98">
        <v>140.24</v>
      </c>
      <c r="D98">
        <v>0</v>
      </c>
      <c r="E98">
        <v>51.24</v>
      </c>
      <c r="F98">
        <v>0</v>
      </c>
      <c r="G98">
        <v>177</v>
      </c>
      <c r="H98">
        <v>239.41</v>
      </c>
      <c r="I98">
        <v>4.54</v>
      </c>
      <c r="J98">
        <v>34.270000000000003</v>
      </c>
      <c r="K98" s="2">
        <f t="shared" si="2"/>
        <v>0.36537364517969195</v>
      </c>
      <c r="L98">
        <f t="shared" si="3"/>
        <v>0</v>
      </c>
    </row>
    <row r="99" spans="1:12" x14ac:dyDescent="0.2">
      <c r="A99" t="s">
        <v>109</v>
      </c>
      <c r="B99" t="s">
        <v>72</v>
      </c>
      <c r="C99">
        <v>37.229999999999997</v>
      </c>
      <c r="D99">
        <v>1</v>
      </c>
      <c r="E99">
        <v>22.47</v>
      </c>
      <c r="F99">
        <v>1</v>
      </c>
      <c r="G99">
        <v>32</v>
      </c>
      <c r="H99">
        <v>29.95</v>
      </c>
      <c r="I99">
        <v>6.76</v>
      </c>
      <c r="J99">
        <v>8.4499999999999993</v>
      </c>
      <c r="K99" s="2">
        <f t="shared" si="2"/>
        <v>0.60354552780016113</v>
      </c>
      <c r="L99">
        <f t="shared" si="3"/>
        <v>1</v>
      </c>
    </row>
    <row r="100" spans="1:12" x14ac:dyDescent="0.2">
      <c r="A100" t="s">
        <v>110</v>
      </c>
      <c r="B100" t="s">
        <v>72</v>
      </c>
      <c r="C100">
        <v>8.93</v>
      </c>
      <c r="D100">
        <v>0</v>
      </c>
      <c r="E100">
        <v>4.55</v>
      </c>
      <c r="F100">
        <v>0</v>
      </c>
      <c r="G100">
        <v>11</v>
      </c>
      <c r="H100">
        <v>9.5</v>
      </c>
      <c r="I100">
        <v>1.61</v>
      </c>
      <c r="J100">
        <v>2.71</v>
      </c>
      <c r="K100" s="2">
        <f t="shared" si="2"/>
        <v>0.50951847704367303</v>
      </c>
      <c r="L100">
        <f t="shared" si="3"/>
        <v>1</v>
      </c>
    </row>
    <row r="101" spans="1:12" x14ac:dyDescent="0.2">
      <c r="A101" t="s">
        <v>111</v>
      </c>
      <c r="B101" t="s">
        <v>72</v>
      </c>
      <c r="C101">
        <v>41.73</v>
      </c>
      <c r="D101">
        <v>0</v>
      </c>
      <c r="E101">
        <v>28.45</v>
      </c>
      <c r="F101">
        <v>0</v>
      </c>
      <c r="G101">
        <v>28</v>
      </c>
      <c r="H101">
        <v>25.78</v>
      </c>
      <c r="I101">
        <v>1.73</v>
      </c>
      <c r="J101">
        <v>11.59</v>
      </c>
      <c r="K101" s="2">
        <f t="shared" si="2"/>
        <v>0.68176371914689671</v>
      </c>
      <c r="L101">
        <f t="shared" si="3"/>
        <v>1</v>
      </c>
    </row>
    <row r="102" spans="1:12" x14ac:dyDescent="0.2">
      <c r="A102" t="s">
        <v>112</v>
      </c>
      <c r="B102" t="s">
        <v>72</v>
      </c>
      <c r="C102">
        <v>8.5299999999999994</v>
      </c>
      <c r="D102">
        <v>1</v>
      </c>
      <c r="E102">
        <v>3.31</v>
      </c>
      <c r="F102">
        <v>1</v>
      </c>
      <c r="G102">
        <v>8</v>
      </c>
      <c r="H102">
        <v>7.43</v>
      </c>
      <c r="I102">
        <v>2.2599999999999998</v>
      </c>
      <c r="J102">
        <v>5.43</v>
      </c>
      <c r="K102" s="2">
        <f t="shared" si="2"/>
        <v>0.38804220398593203</v>
      </c>
      <c r="L102">
        <f t="shared" si="3"/>
        <v>0</v>
      </c>
    </row>
    <row r="103" spans="1:12" x14ac:dyDescent="0.2">
      <c r="A103" t="s">
        <v>113</v>
      </c>
      <c r="B103" t="s">
        <v>72</v>
      </c>
      <c r="C103">
        <v>9.5399999999999991</v>
      </c>
      <c r="D103">
        <v>0</v>
      </c>
      <c r="E103">
        <v>5.33</v>
      </c>
      <c r="F103">
        <v>1</v>
      </c>
      <c r="G103">
        <v>3</v>
      </c>
      <c r="H103">
        <v>12.88</v>
      </c>
      <c r="I103">
        <v>2.97</v>
      </c>
      <c r="J103">
        <v>2.54</v>
      </c>
      <c r="K103" s="2">
        <f t="shared" si="2"/>
        <v>0.55870020964360589</v>
      </c>
      <c r="L103">
        <f t="shared" si="3"/>
        <v>1</v>
      </c>
    </row>
    <row r="104" spans="1:12" x14ac:dyDescent="0.2">
      <c r="A104" t="s">
        <v>114</v>
      </c>
      <c r="B104" t="s">
        <v>72</v>
      </c>
      <c r="C104">
        <v>43.52</v>
      </c>
      <c r="D104">
        <v>0</v>
      </c>
      <c r="E104">
        <v>23.42</v>
      </c>
      <c r="F104">
        <v>0</v>
      </c>
      <c r="G104">
        <v>29</v>
      </c>
      <c r="H104">
        <v>29.07</v>
      </c>
      <c r="I104">
        <v>4.03</v>
      </c>
      <c r="J104">
        <v>11.94</v>
      </c>
      <c r="K104" s="2">
        <f t="shared" si="2"/>
        <v>0.53814338235294112</v>
      </c>
      <c r="L104">
        <f t="shared" si="3"/>
        <v>1</v>
      </c>
    </row>
    <row r="105" spans="1:12" x14ac:dyDescent="0.2">
      <c r="A105" t="s">
        <v>115</v>
      </c>
      <c r="B105" t="s">
        <v>72</v>
      </c>
      <c r="C105">
        <v>140.35</v>
      </c>
      <c r="D105">
        <v>0</v>
      </c>
      <c r="E105">
        <v>6.58</v>
      </c>
      <c r="F105">
        <v>1</v>
      </c>
      <c r="G105">
        <v>277</v>
      </c>
      <c r="H105">
        <v>263.93</v>
      </c>
      <c r="I105">
        <v>5.54</v>
      </c>
      <c r="J105">
        <v>50.89</v>
      </c>
      <c r="K105" s="2">
        <f t="shared" si="2"/>
        <v>4.6882793017456362E-2</v>
      </c>
      <c r="L105">
        <f t="shared" si="3"/>
        <v>0</v>
      </c>
    </row>
    <row r="106" spans="1:12" x14ac:dyDescent="0.2">
      <c r="A106" t="s">
        <v>116</v>
      </c>
      <c r="B106" t="s">
        <v>72</v>
      </c>
      <c r="C106">
        <v>136.13999999999999</v>
      </c>
      <c r="D106">
        <v>0</v>
      </c>
      <c r="E106">
        <v>75.260000000000005</v>
      </c>
      <c r="F106">
        <v>1</v>
      </c>
      <c r="G106">
        <v>188</v>
      </c>
      <c r="H106">
        <v>123.37</v>
      </c>
      <c r="I106">
        <v>5.47</v>
      </c>
      <c r="J106">
        <v>39.409999999999997</v>
      </c>
      <c r="K106" s="2">
        <f t="shared" si="2"/>
        <v>0.55281328044659916</v>
      </c>
      <c r="L106">
        <f t="shared" si="3"/>
        <v>1</v>
      </c>
    </row>
    <row r="107" spans="1:12" x14ac:dyDescent="0.2">
      <c r="A107" t="s">
        <v>117</v>
      </c>
      <c r="B107" t="s">
        <v>72</v>
      </c>
      <c r="C107">
        <v>19.29</v>
      </c>
      <c r="D107">
        <v>0</v>
      </c>
      <c r="E107">
        <v>15.26</v>
      </c>
      <c r="F107">
        <v>1</v>
      </c>
      <c r="G107">
        <v>174</v>
      </c>
      <c r="H107">
        <v>160.04</v>
      </c>
      <c r="I107">
        <v>4.04</v>
      </c>
      <c r="J107">
        <v>25.47</v>
      </c>
      <c r="K107" s="2">
        <f t="shared" si="2"/>
        <v>0.79108346293416276</v>
      </c>
      <c r="L107">
        <f t="shared" si="3"/>
        <v>1</v>
      </c>
    </row>
    <row r="108" spans="1:12" x14ac:dyDescent="0.2">
      <c r="A108" t="s">
        <v>118</v>
      </c>
      <c r="B108" t="s">
        <v>72</v>
      </c>
      <c r="C108">
        <v>12.46</v>
      </c>
      <c r="D108">
        <v>0</v>
      </c>
      <c r="E108">
        <v>8.9</v>
      </c>
      <c r="F108">
        <v>0</v>
      </c>
      <c r="G108">
        <v>11</v>
      </c>
      <c r="H108">
        <v>9.27</v>
      </c>
      <c r="I108">
        <v>2.11</v>
      </c>
      <c r="J108">
        <v>7.41</v>
      </c>
      <c r="K108" s="2">
        <f t="shared" si="2"/>
        <v>0.7142857142857143</v>
      </c>
      <c r="L108">
        <f t="shared" si="3"/>
        <v>1</v>
      </c>
    </row>
    <row r="109" spans="1:12" x14ac:dyDescent="0.2">
      <c r="A109" t="s">
        <v>119</v>
      </c>
      <c r="B109" t="s">
        <v>72</v>
      </c>
      <c r="C109">
        <v>39.770000000000003</v>
      </c>
      <c r="D109">
        <v>0</v>
      </c>
      <c r="E109">
        <v>26.36</v>
      </c>
      <c r="F109">
        <v>1</v>
      </c>
      <c r="G109">
        <v>24</v>
      </c>
      <c r="H109">
        <v>284.76</v>
      </c>
      <c r="I109">
        <v>6.1</v>
      </c>
      <c r="J109">
        <v>51.09</v>
      </c>
      <c r="K109" s="2">
        <f t="shared" si="2"/>
        <v>0.66281116419411612</v>
      </c>
      <c r="L109">
        <f t="shared" si="3"/>
        <v>1</v>
      </c>
    </row>
    <row r="110" spans="1:12" x14ac:dyDescent="0.2">
      <c r="A110" t="s">
        <v>120</v>
      </c>
      <c r="B110" t="s">
        <v>72</v>
      </c>
      <c r="C110">
        <v>3.17</v>
      </c>
      <c r="D110">
        <v>0</v>
      </c>
      <c r="E110">
        <v>2.16</v>
      </c>
      <c r="F110">
        <v>1</v>
      </c>
      <c r="G110">
        <v>6</v>
      </c>
      <c r="H110">
        <v>6.42</v>
      </c>
      <c r="I110">
        <v>1.41</v>
      </c>
      <c r="J110">
        <v>3.25</v>
      </c>
      <c r="K110" s="2">
        <f t="shared" si="2"/>
        <v>0.68138801261829662</v>
      </c>
      <c r="L110">
        <f t="shared" si="3"/>
        <v>1</v>
      </c>
    </row>
    <row r="111" spans="1:12" x14ac:dyDescent="0.2">
      <c r="A111" t="s">
        <v>121</v>
      </c>
      <c r="B111" t="s">
        <v>72</v>
      </c>
      <c r="C111">
        <v>86.56</v>
      </c>
      <c r="D111">
        <v>0</v>
      </c>
      <c r="E111">
        <v>52.15</v>
      </c>
      <c r="F111">
        <v>1</v>
      </c>
      <c r="G111">
        <v>101</v>
      </c>
      <c r="H111">
        <v>234.87</v>
      </c>
      <c r="I111">
        <v>5.77</v>
      </c>
      <c r="J111">
        <v>40.64</v>
      </c>
      <c r="K111" s="2">
        <f t="shared" si="2"/>
        <v>0.60247227356746758</v>
      </c>
      <c r="L111">
        <f t="shared" si="3"/>
        <v>1</v>
      </c>
    </row>
    <row r="112" spans="1:12" x14ac:dyDescent="0.2">
      <c r="A112" t="s">
        <v>122</v>
      </c>
      <c r="B112" t="s">
        <v>72</v>
      </c>
      <c r="C112">
        <v>429.43</v>
      </c>
      <c r="D112">
        <v>1</v>
      </c>
      <c r="E112">
        <v>267.92</v>
      </c>
      <c r="F112">
        <v>1</v>
      </c>
      <c r="G112">
        <v>902</v>
      </c>
      <c r="H112">
        <v>977.06</v>
      </c>
      <c r="I112">
        <v>17.46</v>
      </c>
      <c r="J112">
        <v>66.33</v>
      </c>
      <c r="K112" s="2">
        <f t="shared" si="2"/>
        <v>0.62389679342384097</v>
      </c>
      <c r="L112">
        <f t="shared" si="3"/>
        <v>1</v>
      </c>
    </row>
    <row r="113" spans="1:12" x14ac:dyDescent="0.2">
      <c r="A113" t="s">
        <v>123</v>
      </c>
      <c r="B113" t="s">
        <v>72</v>
      </c>
      <c r="C113">
        <v>97.67</v>
      </c>
      <c r="D113">
        <v>0</v>
      </c>
      <c r="E113">
        <v>72.25</v>
      </c>
      <c r="F113">
        <v>1</v>
      </c>
      <c r="G113">
        <v>68</v>
      </c>
      <c r="H113">
        <v>264.14999999999998</v>
      </c>
      <c r="I113">
        <v>9.77</v>
      </c>
      <c r="J113">
        <v>19.13</v>
      </c>
      <c r="K113" s="2">
        <f t="shared" si="2"/>
        <v>0.73973584519299684</v>
      </c>
      <c r="L113">
        <f t="shared" si="3"/>
        <v>1</v>
      </c>
    </row>
    <row r="114" spans="1:12" x14ac:dyDescent="0.2">
      <c r="A114" t="s">
        <v>124</v>
      </c>
      <c r="B114" t="s">
        <v>72</v>
      </c>
      <c r="C114">
        <v>703.01</v>
      </c>
      <c r="D114">
        <v>0</v>
      </c>
      <c r="E114">
        <v>369.15</v>
      </c>
      <c r="F114">
        <v>0</v>
      </c>
      <c r="G114">
        <v>728</v>
      </c>
      <c r="H114">
        <v>196.32</v>
      </c>
      <c r="I114">
        <v>4.79</v>
      </c>
      <c r="J114">
        <v>64.540000000000006</v>
      </c>
      <c r="K114" s="2">
        <f t="shared" si="2"/>
        <v>0.52509921622736511</v>
      </c>
      <c r="L114">
        <f t="shared" si="3"/>
        <v>1</v>
      </c>
    </row>
    <row r="115" spans="1:12" x14ac:dyDescent="0.2">
      <c r="A115" t="s">
        <v>125</v>
      </c>
      <c r="B115" t="s">
        <v>72</v>
      </c>
      <c r="C115">
        <v>90.47</v>
      </c>
      <c r="D115">
        <v>0</v>
      </c>
      <c r="E115">
        <v>37.81</v>
      </c>
      <c r="F115">
        <v>1</v>
      </c>
      <c r="G115">
        <v>201</v>
      </c>
      <c r="H115">
        <v>183.65</v>
      </c>
      <c r="I115">
        <v>4.03</v>
      </c>
      <c r="J115">
        <v>30.41</v>
      </c>
      <c r="K115" s="2">
        <f t="shared" si="2"/>
        <v>0.41792859511440261</v>
      </c>
      <c r="L115">
        <f t="shared" si="3"/>
        <v>0</v>
      </c>
    </row>
    <row r="116" spans="1:12" x14ac:dyDescent="0.2">
      <c r="A116" t="s">
        <v>126</v>
      </c>
      <c r="B116" t="s">
        <v>72</v>
      </c>
      <c r="C116">
        <v>120.95</v>
      </c>
      <c r="D116">
        <v>0</v>
      </c>
      <c r="E116">
        <v>42.64</v>
      </c>
      <c r="F116">
        <v>0</v>
      </c>
      <c r="G116">
        <v>321</v>
      </c>
      <c r="H116">
        <v>110.7</v>
      </c>
      <c r="I116">
        <v>4.17</v>
      </c>
      <c r="J116">
        <v>29.98</v>
      </c>
      <c r="K116" s="2">
        <f t="shared" si="2"/>
        <v>0.35254237288135593</v>
      </c>
      <c r="L116">
        <f t="shared" si="3"/>
        <v>0</v>
      </c>
    </row>
    <row r="117" spans="1:12" x14ac:dyDescent="0.2">
      <c r="A117" t="s">
        <v>127</v>
      </c>
      <c r="B117" t="s">
        <v>72</v>
      </c>
      <c r="C117">
        <v>143.99</v>
      </c>
      <c r="D117">
        <v>0</v>
      </c>
      <c r="E117">
        <v>83.56</v>
      </c>
      <c r="F117">
        <v>1</v>
      </c>
      <c r="G117">
        <v>844</v>
      </c>
      <c r="H117">
        <v>723.68</v>
      </c>
      <c r="I117">
        <v>4.1100000000000003</v>
      </c>
      <c r="J117">
        <v>201.92</v>
      </c>
      <c r="K117" s="2">
        <f t="shared" si="2"/>
        <v>0.58031807764428078</v>
      </c>
      <c r="L117">
        <f t="shared" si="3"/>
        <v>1</v>
      </c>
    </row>
    <row r="118" spans="1:12" x14ac:dyDescent="0.2">
      <c r="A118" t="s">
        <v>128</v>
      </c>
      <c r="B118" t="s">
        <v>72</v>
      </c>
      <c r="C118">
        <v>34.72</v>
      </c>
      <c r="D118">
        <v>0</v>
      </c>
      <c r="E118">
        <v>17.3</v>
      </c>
      <c r="F118">
        <v>0</v>
      </c>
      <c r="G118">
        <v>35</v>
      </c>
      <c r="H118">
        <v>37.44</v>
      </c>
      <c r="I118">
        <v>3.62</v>
      </c>
      <c r="J118">
        <v>15.5</v>
      </c>
      <c r="K118" s="2">
        <f t="shared" si="2"/>
        <v>0.49827188940092171</v>
      </c>
      <c r="L118">
        <f t="shared" si="3"/>
        <v>0</v>
      </c>
    </row>
    <row r="119" spans="1:12" x14ac:dyDescent="0.2">
      <c r="A119" t="s">
        <v>129</v>
      </c>
      <c r="B119" t="s">
        <v>72</v>
      </c>
      <c r="C119">
        <v>7.18</v>
      </c>
      <c r="D119">
        <v>0</v>
      </c>
      <c r="E119">
        <v>4.83</v>
      </c>
      <c r="F119">
        <v>0</v>
      </c>
      <c r="G119">
        <v>6</v>
      </c>
      <c r="H119">
        <v>4.3499999999999996</v>
      </c>
      <c r="I119">
        <v>2.17</v>
      </c>
      <c r="J119">
        <v>1.95</v>
      </c>
      <c r="K119" s="2">
        <f t="shared" si="2"/>
        <v>0.67270194986072429</v>
      </c>
      <c r="L119">
        <f t="shared" si="3"/>
        <v>1</v>
      </c>
    </row>
    <row r="120" spans="1:12" x14ac:dyDescent="0.2">
      <c r="A120" t="s">
        <v>130</v>
      </c>
      <c r="B120" t="s">
        <v>72</v>
      </c>
      <c r="C120">
        <v>13.75</v>
      </c>
      <c r="D120">
        <v>0</v>
      </c>
      <c r="E120">
        <v>11.17</v>
      </c>
      <c r="F120">
        <v>0</v>
      </c>
      <c r="G120">
        <v>5</v>
      </c>
      <c r="H120">
        <v>12.25</v>
      </c>
      <c r="I120">
        <v>2.16</v>
      </c>
      <c r="J120">
        <v>7.84</v>
      </c>
      <c r="K120" s="2">
        <f t="shared" si="2"/>
        <v>0.8123636363636364</v>
      </c>
      <c r="L120">
        <f t="shared" si="3"/>
        <v>1</v>
      </c>
    </row>
    <row r="121" spans="1:12" x14ac:dyDescent="0.2">
      <c r="A121" t="s">
        <v>131</v>
      </c>
      <c r="B121" t="s">
        <v>72</v>
      </c>
      <c r="C121">
        <v>580.96</v>
      </c>
      <c r="D121">
        <v>1</v>
      </c>
      <c r="E121">
        <v>264.83999999999997</v>
      </c>
      <c r="F121">
        <v>0</v>
      </c>
      <c r="G121">
        <v>875</v>
      </c>
      <c r="H121">
        <v>1890.59</v>
      </c>
      <c r="I121">
        <v>19.52</v>
      </c>
      <c r="J121">
        <v>124.17</v>
      </c>
      <c r="K121" s="2">
        <f t="shared" si="2"/>
        <v>0.45586615257504814</v>
      </c>
      <c r="L121">
        <f t="shared" si="3"/>
        <v>0</v>
      </c>
    </row>
    <row r="122" spans="1:12" x14ac:dyDescent="0.2">
      <c r="A122" t="s">
        <v>132</v>
      </c>
      <c r="B122" t="s">
        <v>72</v>
      </c>
      <c r="C122">
        <v>133.13</v>
      </c>
      <c r="D122">
        <v>1</v>
      </c>
      <c r="E122">
        <v>98.39</v>
      </c>
      <c r="F122">
        <v>1</v>
      </c>
      <c r="G122">
        <v>151</v>
      </c>
      <c r="H122">
        <v>209.83</v>
      </c>
      <c r="I122">
        <v>5.38</v>
      </c>
      <c r="J122">
        <v>39.909999999999997</v>
      </c>
      <c r="K122" s="2">
        <f t="shared" si="2"/>
        <v>0.73905205438293398</v>
      </c>
      <c r="L122">
        <f t="shared" si="3"/>
        <v>1</v>
      </c>
    </row>
    <row r="123" spans="1:12" x14ac:dyDescent="0.2">
      <c r="A123" t="s">
        <v>133</v>
      </c>
      <c r="B123" t="s">
        <v>72</v>
      </c>
      <c r="C123">
        <v>179.86</v>
      </c>
      <c r="D123">
        <v>0</v>
      </c>
      <c r="E123">
        <v>86.75</v>
      </c>
      <c r="F123">
        <v>0</v>
      </c>
      <c r="G123">
        <v>224</v>
      </c>
      <c r="H123">
        <v>265.2</v>
      </c>
      <c r="I123">
        <v>5.54</v>
      </c>
      <c r="J123">
        <v>55.16</v>
      </c>
      <c r="K123" s="2">
        <f t="shared" si="2"/>
        <v>0.482319581897031</v>
      </c>
      <c r="L123">
        <f t="shared" si="3"/>
        <v>0</v>
      </c>
    </row>
    <row r="124" spans="1:12" x14ac:dyDescent="0.2">
      <c r="A124" t="s">
        <v>134</v>
      </c>
      <c r="B124" t="s">
        <v>72</v>
      </c>
      <c r="C124">
        <v>6.92</v>
      </c>
      <c r="D124">
        <v>0</v>
      </c>
      <c r="E124">
        <v>4.05</v>
      </c>
      <c r="F124">
        <v>0</v>
      </c>
      <c r="G124">
        <v>3</v>
      </c>
      <c r="H124">
        <v>7.37</v>
      </c>
      <c r="I124">
        <v>1.2</v>
      </c>
      <c r="J124">
        <v>2.06</v>
      </c>
      <c r="K124" s="2">
        <f t="shared" si="2"/>
        <v>0.58526011560693636</v>
      </c>
      <c r="L124">
        <f t="shared" si="3"/>
        <v>1</v>
      </c>
    </row>
    <row r="125" spans="1:12" x14ac:dyDescent="0.2">
      <c r="A125" t="s">
        <v>135</v>
      </c>
      <c r="B125" t="s">
        <v>72</v>
      </c>
      <c r="C125">
        <v>10.66</v>
      </c>
      <c r="D125">
        <v>0</v>
      </c>
      <c r="E125">
        <v>6.5</v>
      </c>
      <c r="F125">
        <v>1</v>
      </c>
      <c r="G125">
        <v>4</v>
      </c>
      <c r="H125">
        <v>7.28</v>
      </c>
      <c r="I125">
        <v>1.84</v>
      </c>
      <c r="J125">
        <v>5.89</v>
      </c>
      <c r="K125" s="2">
        <f t="shared" si="2"/>
        <v>0.6097560975609756</v>
      </c>
      <c r="L125">
        <f t="shared" si="3"/>
        <v>1</v>
      </c>
    </row>
    <row r="126" spans="1:12" x14ac:dyDescent="0.2">
      <c r="A126" t="s">
        <v>136</v>
      </c>
      <c r="B126" t="s">
        <v>72</v>
      </c>
      <c r="C126">
        <v>91.07</v>
      </c>
      <c r="D126">
        <v>1</v>
      </c>
      <c r="E126">
        <v>52.09</v>
      </c>
      <c r="F126">
        <v>1</v>
      </c>
      <c r="G126">
        <v>336</v>
      </c>
      <c r="H126">
        <v>220.76</v>
      </c>
      <c r="I126">
        <v>7.46</v>
      </c>
      <c r="J126">
        <v>39.54</v>
      </c>
      <c r="K126" s="2">
        <f t="shared" si="2"/>
        <v>0.57197759964862205</v>
      </c>
      <c r="L126">
        <f t="shared" si="3"/>
        <v>1</v>
      </c>
    </row>
    <row r="127" spans="1:12" x14ac:dyDescent="0.2">
      <c r="A127" t="s">
        <v>137</v>
      </c>
      <c r="B127" t="s">
        <v>72</v>
      </c>
      <c r="C127">
        <v>1.42</v>
      </c>
      <c r="D127">
        <v>1</v>
      </c>
      <c r="E127">
        <v>1.1499999999999999</v>
      </c>
      <c r="F127">
        <v>1</v>
      </c>
      <c r="G127">
        <v>8</v>
      </c>
      <c r="H127">
        <v>1.47</v>
      </c>
      <c r="I127">
        <v>1.57</v>
      </c>
      <c r="J127">
        <v>2.31</v>
      </c>
      <c r="K127" s="2">
        <f t="shared" si="2"/>
        <v>0.8098591549295775</v>
      </c>
      <c r="L127">
        <f t="shared" si="3"/>
        <v>1</v>
      </c>
    </row>
    <row r="128" spans="1:12" x14ac:dyDescent="0.2">
      <c r="A128" t="s">
        <v>138</v>
      </c>
      <c r="B128" t="s">
        <v>72</v>
      </c>
      <c r="C128">
        <v>2.5099999999999998</v>
      </c>
      <c r="D128">
        <v>0</v>
      </c>
      <c r="E128">
        <v>1.31</v>
      </c>
      <c r="F128">
        <v>0</v>
      </c>
      <c r="G128">
        <v>4</v>
      </c>
      <c r="H128">
        <v>7.71</v>
      </c>
      <c r="I128">
        <v>1.51</v>
      </c>
      <c r="J128">
        <v>5.08</v>
      </c>
      <c r="K128" s="2">
        <f t="shared" si="2"/>
        <v>0.52191235059760965</v>
      </c>
      <c r="L128">
        <f t="shared" si="3"/>
        <v>1</v>
      </c>
    </row>
    <row r="129" spans="1:12" x14ac:dyDescent="0.2">
      <c r="A129" t="s">
        <v>139</v>
      </c>
      <c r="B129" t="s">
        <v>72</v>
      </c>
      <c r="C129">
        <v>7.17</v>
      </c>
      <c r="D129">
        <v>0</v>
      </c>
      <c r="E129">
        <v>4.62</v>
      </c>
      <c r="F129">
        <v>1</v>
      </c>
      <c r="G129">
        <v>6</v>
      </c>
      <c r="H129">
        <v>7.33</v>
      </c>
      <c r="I129">
        <v>2.66</v>
      </c>
      <c r="J129">
        <v>3.8</v>
      </c>
      <c r="K129" s="2">
        <f t="shared" si="2"/>
        <v>0.64435146443514646</v>
      </c>
      <c r="L129">
        <f t="shared" si="3"/>
        <v>1</v>
      </c>
    </row>
    <row r="130" spans="1:12" x14ac:dyDescent="0.2">
      <c r="A130" t="s">
        <v>140</v>
      </c>
      <c r="B130" t="s">
        <v>72</v>
      </c>
      <c r="C130">
        <v>605.73</v>
      </c>
      <c r="D130">
        <v>0</v>
      </c>
      <c r="E130">
        <v>179.89</v>
      </c>
      <c r="F130">
        <v>0</v>
      </c>
      <c r="G130">
        <v>1068</v>
      </c>
      <c r="H130">
        <v>729.32</v>
      </c>
      <c r="I130">
        <v>7.12</v>
      </c>
      <c r="J130">
        <v>124.47</v>
      </c>
      <c r="K130" s="2">
        <f t="shared" si="2"/>
        <v>0.29698050286431243</v>
      </c>
      <c r="L130">
        <f t="shared" si="3"/>
        <v>0</v>
      </c>
    </row>
    <row r="131" spans="1:12" x14ac:dyDescent="0.2">
      <c r="A131" t="s">
        <v>141</v>
      </c>
      <c r="B131" t="s">
        <v>72</v>
      </c>
      <c r="C131">
        <v>4.95</v>
      </c>
      <c r="D131">
        <v>0</v>
      </c>
      <c r="E131">
        <v>3.1</v>
      </c>
      <c r="F131">
        <v>1</v>
      </c>
      <c r="G131">
        <v>4</v>
      </c>
      <c r="H131">
        <v>6.09</v>
      </c>
      <c r="I131">
        <v>3.77</v>
      </c>
      <c r="J131">
        <v>1.92</v>
      </c>
      <c r="K131" s="2">
        <f t="shared" ref="K131:K194" si="4">E131/C131</f>
        <v>0.6262626262626263</v>
      </c>
      <c r="L131">
        <f t="shared" ref="L131:L194" si="5">IF(K131&gt;0.5,1,0)</f>
        <v>1</v>
      </c>
    </row>
    <row r="132" spans="1:12" x14ac:dyDescent="0.2">
      <c r="A132" t="s">
        <v>142</v>
      </c>
      <c r="B132" t="s">
        <v>72</v>
      </c>
      <c r="C132">
        <v>173.01</v>
      </c>
      <c r="D132">
        <v>0</v>
      </c>
      <c r="E132">
        <v>48.41</v>
      </c>
      <c r="F132">
        <v>1</v>
      </c>
      <c r="G132">
        <v>235</v>
      </c>
      <c r="H132">
        <v>231.19</v>
      </c>
      <c r="I132">
        <v>6.64</v>
      </c>
      <c r="J132">
        <v>48.55</v>
      </c>
      <c r="K132" s="2">
        <f t="shared" si="4"/>
        <v>0.27981041558291425</v>
      </c>
      <c r="L132">
        <f t="shared" si="5"/>
        <v>0</v>
      </c>
    </row>
    <row r="133" spans="1:12" x14ac:dyDescent="0.2">
      <c r="A133" t="s">
        <v>143</v>
      </c>
      <c r="B133" t="s">
        <v>72</v>
      </c>
      <c r="C133">
        <v>83.32</v>
      </c>
      <c r="D133">
        <v>0</v>
      </c>
      <c r="E133">
        <v>61.46</v>
      </c>
      <c r="F133">
        <v>1</v>
      </c>
      <c r="G133">
        <v>136</v>
      </c>
      <c r="H133">
        <v>166.01</v>
      </c>
      <c r="I133">
        <v>6.14</v>
      </c>
      <c r="J133">
        <v>38.57</v>
      </c>
      <c r="K133" s="2">
        <f t="shared" si="4"/>
        <v>0.73763802208353346</v>
      </c>
      <c r="L133">
        <f t="shared" si="5"/>
        <v>1</v>
      </c>
    </row>
    <row r="134" spans="1:12" x14ac:dyDescent="0.2">
      <c r="A134" t="s">
        <v>144</v>
      </c>
      <c r="B134" t="s">
        <v>72</v>
      </c>
      <c r="C134">
        <v>122.71</v>
      </c>
      <c r="D134">
        <v>0</v>
      </c>
      <c r="E134">
        <v>74.540000000000006</v>
      </c>
      <c r="F134">
        <v>1</v>
      </c>
      <c r="G134">
        <v>167</v>
      </c>
      <c r="H134">
        <v>137.02000000000001</v>
      </c>
      <c r="I134">
        <v>4.91</v>
      </c>
      <c r="J134">
        <v>25.07</v>
      </c>
      <c r="K134" s="2">
        <f t="shared" si="4"/>
        <v>0.6074484557085813</v>
      </c>
      <c r="L134">
        <f t="shared" si="5"/>
        <v>1</v>
      </c>
    </row>
    <row r="135" spans="1:12" x14ac:dyDescent="0.2">
      <c r="A135" t="s">
        <v>145</v>
      </c>
      <c r="B135" t="s">
        <v>72</v>
      </c>
      <c r="C135">
        <v>15.38</v>
      </c>
      <c r="D135">
        <v>0</v>
      </c>
      <c r="E135">
        <v>4.84</v>
      </c>
      <c r="F135">
        <v>1</v>
      </c>
      <c r="G135">
        <v>29</v>
      </c>
      <c r="H135">
        <v>31.34</v>
      </c>
      <c r="I135">
        <v>5.32</v>
      </c>
      <c r="J135">
        <v>22.04</v>
      </c>
      <c r="K135" s="2">
        <f t="shared" si="4"/>
        <v>0.31469440832249673</v>
      </c>
      <c r="L135">
        <f t="shared" si="5"/>
        <v>0</v>
      </c>
    </row>
    <row r="136" spans="1:12" x14ac:dyDescent="0.2">
      <c r="A136" t="s">
        <v>146</v>
      </c>
      <c r="B136" t="s">
        <v>72</v>
      </c>
      <c r="C136">
        <v>102.54</v>
      </c>
      <c r="D136">
        <v>1</v>
      </c>
      <c r="E136">
        <v>52.8</v>
      </c>
      <c r="F136">
        <v>1</v>
      </c>
      <c r="G136">
        <v>247</v>
      </c>
      <c r="H136">
        <v>253.75</v>
      </c>
      <c r="I136">
        <v>8.67</v>
      </c>
      <c r="J136">
        <v>13.01</v>
      </c>
      <c r="K136" s="2">
        <f t="shared" si="4"/>
        <v>0.51492100643651251</v>
      </c>
      <c r="L136">
        <f t="shared" si="5"/>
        <v>1</v>
      </c>
    </row>
    <row r="137" spans="1:12" x14ac:dyDescent="0.2">
      <c r="A137" t="s">
        <v>147</v>
      </c>
      <c r="B137" t="s">
        <v>72</v>
      </c>
      <c r="C137">
        <v>116.1</v>
      </c>
      <c r="D137">
        <v>0</v>
      </c>
      <c r="E137">
        <v>42.69</v>
      </c>
      <c r="F137">
        <v>1</v>
      </c>
      <c r="G137">
        <v>305</v>
      </c>
      <c r="H137">
        <v>134.28</v>
      </c>
      <c r="I137">
        <v>9.64</v>
      </c>
      <c r="J137">
        <v>13.48</v>
      </c>
      <c r="K137" s="2">
        <f t="shared" si="4"/>
        <v>0.3677002583979328</v>
      </c>
      <c r="L137">
        <f t="shared" si="5"/>
        <v>0</v>
      </c>
    </row>
    <row r="138" spans="1:12" x14ac:dyDescent="0.2">
      <c r="A138" t="s">
        <v>148</v>
      </c>
      <c r="B138" t="s">
        <v>72</v>
      </c>
      <c r="C138">
        <v>101.01</v>
      </c>
      <c r="D138">
        <v>1</v>
      </c>
      <c r="E138">
        <v>72.61</v>
      </c>
      <c r="F138">
        <v>0</v>
      </c>
      <c r="G138">
        <v>258</v>
      </c>
      <c r="H138">
        <v>128.97</v>
      </c>
      <c r="I138">
        <v>5.69</v>
      </c>
      <c r="J138">
        <v>25.51</v>
      </c>
      <c r="K138" s="2">
        <f t="shared" si="4"/>
        <v>0.71883971883971876</v>
      </c>
      <c r="L138">
        <f t="shared" si="5"/>
        <v>1</v>
      </c>
    </row>
    <row r="139" spans="1:12" x14ac:dyDescent="0.2">
      <c r="A139" t="s">
        <v>149</v>
      </c>
      <c r="B139" t="s">
        <v>72</v>
      </c>
      <c r="C139">
        <v>224.12</v>
      </c>
      <c r="D139">
        <v>0</v>
      </c>
      <c r="E139">
        <v>112.21</v>
      </c>
      <c r="F139">
        <v>1</v>
      </c>
      <c r="G139">
        <v>188</v>
      </c>
      <c r="H139">
        <v>165.49</v>
      </c>
      <c r="I139">
        <v>5.07</v>
      </c>
      <c r="J139">
        <v>36.22</v>
      </c>
      <c r="K139" s="2">
        <f t="shared" si="4"/>
        <v>0.50066928431197566</v>
      </c>
      <c r="L139">
        <f t="shared" si="5"/>
        <v>1</v>
      </c>
    </row>
    <row r="140" spans="1:12" x14ac:dyDescent="0.2">
      <c r="A140" t="s">
        <v>150</v>
      </c>
      <c r="B140" t="s">
        <v>72</v>
      </c>
      <c r="C140">
        <v>106.54</v>
      </c>
      <c r="D140">
        <v>0</v>
      </c>
      <c r="E140">
        <v>81.099999999999994</v>
      </c>
      <c r="F140">
        <v>1</v>
      </c>
      <c r="G140">
        <v>263</v>
      </c>
      <c r="H140">
        <v>174.91</v>
      </c>
      <c r="I140">
        <v>5.4</v>
      </c>
      <c r="J140">
        <v>30.51</v>
      </c>
      <c r="K140" s="2">
        <f t="shared" si="4"/>
        <v>0.76121644452787673</v>
      </c>
      <c r="L140">
        <f t="shared" si="5"/>
        <v>1</v>
      </c>
    </row>
    <row r="141" spans="1:12" x14ac:dyDescent="0.2">
      <c r="A141" t="s">
        <v>151</v>
      </c>
      <c r="B141" t="s">
        <v>72</v>
      </c>
      <c r="C141">
        <v>150.55000000000001</v>
      </c>
      <c r="D141">
        <v>0</v>
      </c>
      <c r="E141">
        <v>57.07</v>
      </c>
      <c r="F141">
        <v>1</v>
      </c>
      <c r="G141">
        <v>148</v>
      </c>
      <c r="H141">
        <v>201.46</v>
      </c>
      <c r="I141">
        <v>6.59</v>
      </c>
      <c r="J141">
        <v>33.409999999999997</v>
      </c>
      <c r="K141" s="2">
        <f t="shared" si="4"/>
        <v>0.37907671869810694</v>
      </c>
      <c r="L141">
        <f t="shared" si="5"/>
        <v>0</v>
      </c>
    </row>
    <row r="142" spans="1:12" x14ac:dyDescent="0.2">
      <c r="A142" t="s">
        <v>152</v>
      </c>
      <c r="B142" t="s">
        <v>72</v>
      </c>
      <c r="C142">
        <v>63.12</v>
      </c>
      <c r="D142">
        <v>1</v>
      </c>
      <c r="E142">
        <v>36.5</v>
      </c>
      <c r="F142">
        <v>1</v>
      </c>
      <c r="G142">
        <v>40</v>
      </c>
      <c r="H142">
        <v>19.600000000000001</v>
      </c>
      <c r="I142">
        <v>4.25</v>
      </c>
      <c r="J142">
        <v>14.75</v>
      </c>
      <c r="K142" s="2">
        <f t="shared" si="4"/>
        <v>0.57826362484157168</v>
      </c>
      <c r="L142">
        <f t="shared" si="5"/>
        <v>1</v>
      </c>
    </row>
    <row r="143" spans="1:12" x14ac:dyDescent="0.2">
      <c r="A143" t="s">
        <v>153</v>
      </c>
      <c r="B143" t="s">
        <v>72</v>
      </c>
      <c r="C143">
        <v>110.44</v>
      </c>
      <c r="D143">
        <v>0</v>
      </c>
      <c r="E143">
        <v>85.42</v>
      </c>
      <c r="F143">
        <v>1</v>
      </c>
      <c r="G143">
        <v>19</v>
      </c>
      <c r="H143">
        <v>264.11</v>
      </c>
      <c r="I143">
        <v>4.8</v>
      </c>
      <c r="J143">
        <v>10.55</v>
      </c>
      <c r="K143" s="2">
        <f t="shared" si="4"/>
        <v>0.77345164795363996</v>
      </c>
      <c r="L143">
        <f t="shared" si="5"/>
        <v>1</v>
      </c>
    </row>
    <row r="144" spans="1:12" x14ac:dyDescent="0.2">
      <c r="A144" t="s">
        <v>154</v>
      </c>
      <c r="B144" t="s">
        <v>72</v>
      </c>
      <c r="C144">
        <v>0.21</v>
      </c>
      <c r="D144">
        <v>0</v>
      </c>
      <c r="E144">
        <v>0.08</v>
      </c>
      <c r="F144">
        <v>0</v>
      </c>
      <c r="G144">
        <v>11</v>
      </c>
      <c r="H144">
        <v>5.51</v>
      </c>
      <c r="I144">
        <v>2.14</v>
      </c>
      <c r="J144">
        <v>5.41</v>
      </c>
      <c r="K144" s="2">
        <f t="shared" si="4"/>
        <v>0.38095238095238099</v>
      </c>
      <c r="L144">
        <f t="shared" si="5"/>
        <v>0</v>
      </c>
    </row>
    <row r="145" spans="1:12" x14ac:dyDescent="0.2">
      <c r="A145" t="s">
        <v>155</v>
      </c>
      <c r="B145" t="s">
        <v>72</v>
      </c>
      <c r="C145">
        <v>104.16</v>
      </c>
      <c r="D145">
        <v>0</v>
      </c>
      <c r="E145">
        <v>55.14</v>
      </c>
      <c r="F145">
        <v>1</v>
      </c>
      <c r="G145">
        <v>274</v>
      </c>
      <c r="H145">
        <v>76.290000000000006</v>
      </c>
      <c r="I145">
        <v>6.44</v>
      </c>
      <c r="J145">
        <v>13.08</v>
      </c>
      <c r="K145" s="2">
        <f t="shared" si="4"/>
        <v>0.52937788018433185</v>
      </c>
      <c r="L145">
        <f t="shared" si="5"/>
        <v>1</v>
      </c>
    </row>
    <row r="146" spans="1:12" x14ac:dyDescent="0.2">
      <c r="A146" t="s">
        <v>156</v>
      </c>
      <c r="B146" t="s">
        <v>157</v>
      </c>
      <c r="C146">
        <v>12.31</v>
      </c>
      <c r="D146">
        <v>1</v>
      </c>
      <c r="E146">
        <v>5.96</v>
      </c>
      <c r="F146">
        <v>1</v>
      </c>
      <c r="G146">
        <v>5</v>
      </c>
      <c r="H146">
        <v>7.69</v>
      </c>
      <c r="I146">
        <v>5.84</v>
      </c>
      <c r="J146">
        <v>3.37</v>
      </c>
      <c r="K146" s="2">
        <f t="shared" si="4"/>
        <v>0.48415922014622254</v>
      </c>
      <c r="L146">
        <f t="shared" si="5"/>
        <v>0</v>
      </c>
    </row>
    <row r="147" spans="1:12" x14ac:dyDescent="0.2">
      <c r="A147" t="s">
        <v>158</v>
      </c>
      <c r="B147" t="s">
        <v>157</v>
      </c>
      <c r="C147">
        <v>100.9</v>
      </c>
      <c r="D147">
        <v>0</v>
      </c>
      <c r="E147">
        <v>51.65</v>
      </c>
      <c r="F147">
        <v>0</v>
      </c>
      <c r="G147">
        <v>27</v>
      </c>
      <c r="H147">
        <v>29</v>
      </c>
      <c r="I147">
        <v>3.38</v>
      </c>
      <c r="J147">
        <v>15.68</v>
      </c>
      <c r="K147" s="2">
        <f t="shared" si="4"/>
        <v>0.51189296333002965</v>
      </c>
      <c r="L147">
        <f t="shared" si="5"/>
        <v>1</v>
      </c>
    </row>
    <row r="148" spans="1:12" x14ac:dyDescent="0.2">
      <c r="A148" t="s">
        <v>159</v>
      </c>
      <c r="B148" t="s">
        <v>157</v>
      </c>
      <c r="C148">
        <v>98.25</v>
      </c>
      <c r="D148">
        <v>0</v>
      </c>
      <c r="E148">
        <v>33.61</v>
      </c>
      <c r="F148">
        <v>1</v>
      </c>
      <c r="G148">
        <v>28</v>
      </c>
      <c r="H148">
        <v>24.13</v>
      </c>
      <c r="I148">
        <v>1.84</v>
      </c>
      <c r="J148">
        <v>37.299999999999997</v>
      </c>
      <c r="K148" s="2">
        <f t="shared" si="4"/>
        <v>0.34208651399491091</v>
      </c>
      <c r="L148">
        <f t="shared" si="5"/>
        <v>0</v>
      </c>
    </row>
    <row r="149" spans="1:12" x14ac:dyDescent="0.2">
      <c r="A149" t="s">
        <v>160</v>
      </c>
      <c r="B149" t="s">
        <v>157</v>
      </c>
      <c r="C149">
        <v>106.36</v>
      </c>
      <c r="D149">
        <v>0</v>
      </c>
      <c r="E149">
        <v>18.62</v>
      </c>
      <c r="F149">
        <v>1</v>
      </c>
      <c r="G149">
        <v>221</v>
      </c>
      <c r="H149">
        <v>115.95</v>
      </c>
      <c r="I149">
        <v>5.67</v>
      </c>
      <c r="J149">
        <v>43.9</v>
      </c>
      <c r="K149" s="2">
        <f t="shared" si="4"/>
        <v>0.17506581421587064</v>
      </c>
      <c r="L149">
        <f t="shared" si="5"/>
        <v>0</v>
      </c>
    </row>
    <row r="150" spans="1:12" x14ac:dyDescent="0.2">
      <c r="A150" t="s">
        <v>161</v>
      </c>
      <c r="B150" t="s">
        <v>157</v>
      </c>
      <c r="C150">
        <v>239.75</v>
      </c>
      <c r="D150">
        <v>1</v>
      </c>
      <c r="E150">
        <v>58.41</v>
      </c>
      <c r="F150">
        <v>1</v>
      </c>
      <c r="G150">
        <v>187</v>
      </c>
      <c r="H150">
        <v>143.36000000000001</v>
      </c>
      <c r="I150">
        <v>5.41</v>
      </c>
      <c r="J150">
        <v>78.48</v>
      </c>
      <c r="K150" s="2">
        <f t="shared" si="4"/>
        <v>0.24362877997914492</v>
      </c>
      <c r="L150">
        <f t="shared" si="5"/>
        <v>0</v>
      </c>
    </row>
    <row r="151" spans="1:12" x14ac:dyDescent="0.2">
      <c r="A151" t="s">
        <v>162</v>
      </c>
      <c r="B151" t="s">
        <v>157</v>
      </c>
      <c r="C151">
        <v>45.51</v>
      </c>
      <c r="D151">
        <v>0</v>
      </c>
      <c r="E151">
        <v>21.39</v>
      </c>
      <c r="F151">
        <v>1</v>
      </c>
      <c r="G151">
        <v>25</v>
      </c>
      <c r="H151">
        <v>30.4</v>
      </c>
      <c r="I151">
        <v>3.54</v>
      </c>
      <c r="J151">
        <v>35.97</v>
      </c>
      <c r="K151" s="2">
        <f t="shared" si="4"/>
        <v>0.47000659195781153</v>
      </c>
      <c r="L151">
        <f t="shared" si="5"/>
        <v>0</v>
      </c>
    </row>
    <row r="152" spans="1:12" x14ac:dyDescent="0.2">
      <c r="A152" t="s">
        <v>163</v>
      </c>
      <c r="B152" t="s">
        <v>157</v>
      </c>
      <c r="C152">
        <v>95.22</v>
      </c>
      <c r="D152">
        <v>1</v>
      </c>
      <c r="E152">
        <v>3.06</v>
      </c>
      <c r="F152">
        <v>0</v>
      </c>
      <c r="G152">
        <v>68</v>
      </c>
      <c r="H152">
        <v>163.13</v>
      </c>
      <c r="I152">
        <v>4.1100000000000003</v>
      </c>
      <c r="J152">
        <v>51.58</v>
      </c>
      <c r="K152" s="2">
        <f t="shared" si="4"/>
        <v>3.2136105860113423E-2</v>
      </c>
      <c r="L152">
        <f t="shared" si="5"/>
        <v>0</v>
      </c>
    </row>
    <row r="153" spans="1:12" x14ac:dyDescent="0.2">
      <c r="A153" t="s">
        <v>164</v>
      </c>
      <c r="B153" t="s">
        <v>157</v>
      </c>
      <c r="C153">
        <v>114.42</v>
      </c>
      <c r="D153">
        <v>1</v>
      </c>
      <c r="E153">
        <v>43.66</v>
      </c>
      <c r="F153">
        <v>0</v>
      </c>
      <c r="G153">
        <v>142</v>
      </c>
      <c r="H153">
        <v>198.81</v>
      </c>
      <c r="I153">
        <v>4.75</v>
      </c>
      <c r="J153">
        <v>75.27</v>
      </c>
      <c r="K153" s="2">
        <f t="shared" si="4"/>
        <v>0.38157664743925884</v>
      </c>
      <c r="L153">
        <f t="shared" si="5"/>
        <v>0</v>
      </c>
    </row>
    <row r="154" spans="1:12" x14ac:dyDescent="0.2">
      <c r="A154" t="s">
        <v>165</v>
      </c>
      <c r="B154" t="s">
        <v>157</v>
      </c>
      <c r="C154">
        <v>15.01</v>
      </c>
      <c r="D154">
        <v>1</v>
      </c>
      <c r="E154">
        <v>4.3099999999999996</v>
      </c>
      <c r="F154">
        <v>0</v>
      </c>
      <c r="G154">
        <v>3</v>
      </c>
      <c r="H154">
        <v>5.5</v>
      </c>
      <c r="I154">
        <v>2.14</v>
      </c>
      <c r="J154">
        <v>8.5500000000000007</v>
      </c>
      <c r="K154" s="2">
        <f t="shared" si="4"/>
        <v>0.28714190539640239</v>
      </c>
      <c r="L154">
        <f t="shared" si="5"/>
        <v>0</v>
      </c>
    </row>
    <row r="155" spans="1:12" x14ac:dyDescent="0.2">
      <c r="A155" t="s">
        <v>166</v>
      </c>
      <c r="B155" t="s">
        <v>157</v>
      </c>
      <c r="C155">
        <v>143.16999999999999</v>
      </c>
      <c r="D155">
        <v>0</v>
      </c>
      <c r="E155">
        <v>66.040000000000006</v>
      </c>
      <c r="F155">
        <v>1</v>
      </c>
      <c r="G155">
        <v>129</v>
      </c>
      <c r="H155">
        <v>106</v>
      </c>
      <c r="I155">
        <v>8.3699999999999992</v>
      </c>
      <c r="J155">
        <v>75.930000000000007</v>
      </c>
      <c r="K155" s="2">
        <f t="shared" si="4"/>
        <v>0.46126981909617948</v>
      </c>
      <c r="L155">
        <f t="shared" si="5"/>
        <v>0</v>
      </c>
    </row>
    <row r="156" spans="1:12" x14ac:dyDescent="0.2">
      <c r="A156" t="s">
        <v>167</v>
      </c>
      <c r="B156" t="s">
        <v>157</v>
      </c>
      <c r="C156">
        <v>119.56</v>
      </c>
      <c r="D156">
        <v>1</v>
      </c>
      <c r="E156">
        <v>45.03</v>
      </c>
      <c r="F156">
        <v>1</v>
      </c>
      <c r="G156">
        <v>166</v>
      </c>
      <c r="H156">
        <v>132.07</v>
      </c>
      <c r="I156">
        <v>9.1</v>
      </c>
      <c r="J156">
        <v>38.94</v>
      </c>
      <c r="K156" s="2">
        <f t="shared" si="4"/>
        <v>0.37663098026095687</v>
      </c>
      <c r="L156">
        <f t="shared" si="5"/>
        <v>0</v>
      </c>
    </row>
    <row r="157" spans="1:12" x14ac:dyDescent="0.2">
      <c r="A157" t="s">
        <v>168</v>
      </c>
      <c r="B157" t="s">
        <v>157</v>
      </c>
      <c r="C157">
        <v>20.100000000000001</v>
      </c>
      <c r="D157">
        <v>0</v>
      </c>
      <c r="E157">
        <v>8.3800000000000008</v>
      </c>
      <c r="F157">
        <v>1</v>
      </c>
      <c r="G157">
        <v>10</v>
      </c>
      <c r="H157">
        <v>8.99</v>
      </c>
      <c r="I157">
        <v>1.57</v>
      </c>
      <c r="J157">
        <v>15.43</v>
      </c>
      <c r="K157" s="2">
        <f t="shared" si="4"/>
        <v>0.41691542288557215</v>
      </c>
      <c r="L157">
        <f t="shared" si="5"/>
        <v>0</v>
      </c>
    </row>
    <row r="158" spans="1:12" x14ac:dyDescent="0.2">
      <c r="A158" t="s">
        <v>169</v>
      </c>
      <c r="B158" t="s">
        <v>157</v>
      </c>
      <c r="C158">
        <v>34.64</v>
      </c>
      <c r="D158">
        <v>0</v>
      </c>
      <c r="E158">
        <v>11.4</v>
      </c>
      <c r="F158">
        <v>1</v>
      </c>
      <c r="G158">
        <v>135</v>
      </c>
      <c r="H158">
        <v>106.62</v>
      </c>
      <c r="I158">
        <v>5.2</v>
      </c>
      <c r="J158">
        <v>84.22</v>
      </c>
      <c r="K158" s="2">
        <f t="shared" si="4"/>
        <v>0.32909930715935337</v>
      </c>
      <c r="L158">
        <f t="shared" si="5"/>
        <v>0</v>
      </c>
    </row>
    <row r="159" spans="1:12" x14ac:dyDescent="0.2">
      <c r="A159" t="s">
        <v>170</v>
      </c>
      <c r="B159" t="s">
        <v>157</v>
      </c>
      <c r="C159">
        <v>20.36</v>
      </c>
      <c r="D159">
        <v>0</v>
      </c>
      <c r="E159">
        <v>9.84</v>
      </c>
      <c r="F159">
        <v>1</v>
      </c>
      <c r="G159">
        <v>7</v>
      </c>
      <c r="H159">
        <v>7.94</v>
      </c>
      <c r="I159">
        <v>2.81</v>
      </c>
      <c r="J159">
        <v>9.32</v>
      </c>
      <c r="K159" s="2">
        <f t="shared" si="4"/>
        <v>0.48330058939096265</v>
      </c>
      <c r="L159">
        <f t="shared" si="5"/>
        <v>0</v>
      </c>
    </row>
    <row r="160" spans="1:12" x14ac:dyDescent="0.2">
      <c r="A160" t="s">
        <v>171</v>
      </c>
      <c r="B160" t="s">
        <v>157</v>
      </c>
      <c r="C160">
        <v>189.69</v>
      </c>
      <c r="D160">
        <v>0</v>
      </c>
      <c r="E160">
        <v>107.33</v>
      </c>
      <c r="F160">
        <v>1</v>
      </c>
      <c r="G160">
        <v>1211</v>
      </c>
      <c r="H160">
        <v>904.14</v>
      </c>
      <c r="I160">
        <v>16.329999999999998</v>
      </c>
      <c r="J160">
        <v>230.03</v>
      </c>
      <c r="K160" s="2">
        <f t="shared" si="4"/>
        <v>0.56581791343771415</v>
      </c>
      <c r="L160">
        <f t="shared" si="5"/>
        <v>1</v>
      </c>
    </row>
    <row r="161" spans="1:12" x14ac:dyDescent="0.2">
      <c r="A161" t="s">
        <v>172</v>
      </c>
      <c r="B161" t="s">
        <v>157</v>
      </c>
      <c r="C161">
        <v>252.76</v>
      </c>
      <c r="D161">
        <v>1</v>
      </c>
      <c r="E161">
        <v>137.63</v>
      </c>
      <c r="F161">
        <v>0</v>
      </c>
      <c r="G161">
        <v>187</v>
      </c>
      <c r="H161">
        <v>100.92</v>
      </c>
      <c r="I161">
        <v>5.76</v>
      </c>
      <c r="J161">
        <v>70.069999999999993</v>
      </c>
      <c r="K161" s="2">
        <f t="shared" si="4"/>
        <v>0.54450862478240225</v>
      </c>
      <c r="L161">
        <f t="shared" si="5"/>
        <v>1</v>
      </c>
    </row>
    <row r="162" spans="1:12" x14ac:dyDescent="0.2">
      <c r="A162" t="s">
        <v>173</v>
      </c>
      <c r="B162" t="s">
        <v>157</v>
      </c>
      <c r="C162">
        <v>20.350000000000001</v>
      </c>
      <c r="D162">
        <v>0</v>
      </c>
      <c r="E162">
        <v>9.93</v>
      </c>
      <c r="F162">
        <v>1</v>
      </c>
      <c r="G162">
        <v>8</v>
      </c>
      <c r="H162">
        <v>5.3</v>
      </c>
      <c r="I162">
        <v>2.65</v>
      </c>
      <c r="J162">
        <v>11.12</v>
      </c>
      <c r="K162" s="2">
        <f t="shared" si="4"/>
        <v>0.48796068796068792</v>
      </c>
      <c r="L162">
        <f t="shared" si="5"/>
        <v>0</v>
      </c>
    </row>
    <row r="163" spans="1:12" x14ac:dyDescent="0.2">
      <c r="A163" t="s">
        <v>174</v>
      </c>
      <c r="B163" t="s">
        <v>157</v>
      </c>
      <c r="C163">
        <v>312.04000000000002</v>
      </c>
      <c r="D163">
        <v>0</v>
      </c>
      <c r="E163">
        <v>60.53</v>
      </c>
      <c r="F163">
        <v>1</v>
      </c>
      <c r="G163">
        <v>112</v>
      </c>
      <c r="H163">
        <v>145.38999999999999</v>
      </c>
      <c r="I163">
        <v>7.45</v>
      </c>
      <c r="J163">
        <v>81.66</v>
      </c>
      <c r="K163" s="2">
        <f t="shared" si="4"/>
        <v>0.19398154082809896</v>
      </c>
      <c r="L163">
        <f t="shared" si="5"/>
        <v>0</v>
      </c>
    </row>
    <row r="164" spans="1:12" x14ac:dyDescent="0.2">
      <c r="A164" t="s">
        <v>175</v>
      </c>
      <c r="B164" t="s">
        <v>157</v>
      </c>
      <c r="C164">
        <v>13.39</v>
      </c>
      <c r="D164">
        <v>1</v>
      </c>
      <c r="E164">
        <v>6.34</v>
      </c>
      <c r="F164">
        <v>1</v>
      </c>
      <c r="G164">
        <v>12</v>
      </c>
      <c r="H164">
        <v>7.16</v>
      </c>
      <c r="I164">
        <v>3.1</v>
      </c>
      <c r="J164">
        <v>11.36</v>
      </c>
      <c r="K164" s="2">
        <f t="shared" si="4"/>
        <v>0.47348767737117248</v>
      </c>
      <c r="L164">
        <f t="shared" si="5"/>
        <v>0</v>
      </c>
    </row>
    <row r="165" spans="1:12" x14ac:dyDescent="0.2">
      <c r="A165" t="s">
        <v>176</v>
      </c>
      <c r="B165" t="s">
        <v>157</v>
      </c>
      <c r="C165">
        <v>15.69</v>
      </c>
      <c r="D165">
        <v>1</v>
      </c>
      <c r="E165">
        <v>4.7</v>
      </c>
      <c r="F165">
        <v>1</v>
      </c>
      <c r="G165">
        <v>1</v>
      </c>
      <c r="H165">
        <v>7.15</v>
      </c>
      <c r="I165">
        <v>3.08</v>
      </c>
      <c r="J165">
        <v>4.78</v>
      </c>
      <c r="K165" s="2">
        <f t="shared" si="4"/>
        <v>0.29955385595920969</v>
      </c>
      <c r="L165">
        <f t="shared" si="5"/>
        <v>0</v>
      </c>
    </row>
    <row r="166" spans="1:12" x14ac:dyDescent="0.2">
      <c r="A166" t="s">
        <v>177</v>
      </c>
      <c r="B166" t="s">
        <v>157</v>
      </c>
      <c r="C166">
        <v>148.4</v>
      </c>
      <c r="D166">
        <v>1</v>
      </c>
      <c r="E166">
        <v>42.76</v>
      </c>
      <c r="F166">
        <v>1</v>
      </c>
      <c r="G166">
        <v>86</v>
      </c>
      <c r="H166">
        <v>300.38</v>
      </c>
      <c r="I166">
        <v>7.24</v>
      </c>
      <c r="J166">
        <v>60.39</v>
      </c>
      <c r="K166" s="2">
        <f t="shared" si="4"/>
        <v>0.28814016172506735</v>
      </c>
      <c r="L166">
        <f t="shared" si="5"/>
        <v>0</v>
      </c>
    </row>
    <row r="167" spans="1:12" x14ac:dyDescent="0.2">
      <c r="A167" t="s">
        <v>178</v>
      </c>
      <c r="B167" t="s">
        <v>157</v>
      </c>
      <c r="C167">
        <v>42.13</v>
      </c>
      <c r="D167">
        <v>0</v>
      </c>
      <c r="E167">
        <v>20.3</v>
      </c>
      <c r="F167">
        <v>1</v>
      </c>
      <c r="G167">
        <v>27</v>
      </c>
      <c r="H167">
        <v>27.86</v>
      </c>
      <c r="I167">
        <v>2.59</v>
      </c>
      <c r="J167">
        <v>35.54</v>
      </c>
      <c r="K167" s="2">
        <f t="shared" si="4"/>
        <v>0.48184191787324948</v>
      </c>
      <c r="L167">
        <f t="shared" si="5"/>
        <v>0</v>
      </c>
    </row>
    <row r="168" spans="1:12" x14ac:dyDescent="0.2">
      <c r="A168" t="s">
        <v>179</v>
      </c>
      <c r="B168" t="s">
        <v>157</v>
      </c>
      <c r="C168">
        <v>60.16</v>
      </c>
      <c r="D168">
        <v>1</v>
      </c>
      <c r="E168">
        <v>17.82</v>
      </c>
      <c r="F168">
        <v>1</v>
      </c>
      <c r="G168">
        <v>28</v>
      </c>
      <c r="H168">
        <v>30.84</v>
      </c>
      <c r="I168">
        <v>5.93</v>
      </c>
      <c r="J168">
        <v>24.66</v>
      </c>
      <c r="K168" s="2">
        <f t="shared" si="4"/>
        <v>0.29621010638297873</v>
      </c>
      <c r="L168">
        <f t="shared" si="5"/>
        <v>0</v>
      </c>
    </row>
    <row r="169" spans="1:12" x14ac:dyDescent="0.2">
      <c r="A169" t="s">
        <v>180</v>
      </c>
      <c r="B169" t="s">
        <v>157</v>
      </c>
      <c r="C169">
        <v>190.42</v>
      </c>
      <c r="D169">
        <v>1</v>
      </c>
      <c r="E169">
        <v>64.2</v>
      </c>
      <c r="F169">
        <v>1</v>
      </c>
      <c r="G169">
        <v>87</v>
      </c>
      <c r="H169">
        <v>134.62</v>
      </c>
      <c r="I169">
        <v>6.07</v>
      </c>
      <c r="J169">
        <v>35.11</v>
      </c>
      <c r="K169" s="2">
        <f t="shared" si="4"/>
        <v>0.3371494590904317</v>
      </c>
      <c r="L169">
        <f t="shared" si="5"/>
        <v>0</v>
      </c>
    </row>
    <row r="170" spans="1:12" x14ac:dyDescent="0.2">
      <c r="A170" t="s">
        <v>181</v>
      </c>
      <c r="B170" t="s">
        <v>157</v>
      </c>
      <c r="C170">
        <v>164.52</v>
      </c>
      <c r="D170">
        <v>0</v>
      </c>
      <c r="E170">
        <v>55.85</v>
      </c>
      <c r="F170">
        <v>1</v>
      </c>
      <c r="G170">
        <v>106</v>
      </c>
      <c r="H170">
        <v>133.68</v>
      </c>
      <c r="I170">
        <v>4.41</v>
      </c>
      <c r="J170">
        <v>58.09</v>
      </c>
      <c r="K170" s="2">
        <f t="shared" si="4"/>
        <v>0.33947240457087285</v>
      </c>
      <c r="L170">
        <f t="shared" si="5"/>
        <v>0</v>
      </c>
    </row>
    <row r="171" spans="1:12" x14ac:dyDescent="0.2">
      <c r="A171" t="s">
        <v>182</v>
      </c>
      <c r="B171" t="s">
        <v>157</v>
      </c>
      <c r="C171">
        <v>172.38</v>
      </c>
      <c r="D171">
        <v>1</v>
      </c>
      <c r="E171">
        <v>41.43</v>
      </c>
      <c r="F171">
        <v>1</v>
      </c>
      <c r="G171">
        <v>35</v>
      </c>
      <c r="H171">
        <v>118.75</v>
      </c>
      <c r="I171">
        <v>5.46</v>
      </c>
      <c r="J171">
        <v>50.44</v>
      </c>
      <c r="K171" s="2">
        <f t="shared" si="4"/>
        <v>0.24034110685694396</v>
      </c>
      <c r="L171">
        <f t="shared" si="5"/>
        <v>0</v>
      </c>
    </row>
    <row r="172" spans="1:12" x14ac:dyDescent="0.2">
      <c r="A172" t="s">
        <v>183</v>
      </c>
      <c r="B172" t="s">
        <v>157</v>
      </c>
      <c r="C172">
        <v>14.35</v>
      </c>
      <c r="D172">
        <v>1</v>
      </c>
      <c r="E172">
        <v>6.72</v>
      </c>
      <c r="F172">
        <v>1</v>
      </c>
      <c r="G172">
        <v>8</v>
      </c>
      <c r="H172">
        <v>7.32</v>
      </c>
      <c r="I172">
        <v>2.21</v>
      </c>
      <c r="J172">
        <v>13.68</v>
      </c>
      <c r="K172" s="2">
        <f t="shared" si="4"/>
        <v>0.46829268292682924</v>
      </c>
      <c r="L172">
        <f t="shared" si="5"/>
        <v>0</v>
      </c>
    </row>
    <row r="173" spans="1:12" x14ac:dyDescent="0.2">
      <c r="A173" t="s">
        <v>184</v>
      </c>
      <c r="B173" t="s">
        <v>157</v>
      </c>
      <c r="C173">
        <v>12.28</v>
      </c>
      <c r="D173">
        <v>1</v>
      </c>
      <c r="E173">
        <v>4.17</v>
      </c>
      <c r="F173">
        <v>1</v>
      </c>
      <c r="G173">
        <v>4</v>
      </c>
      <c r="H173">
        <v>10.44</v>
      </c>
      <c r="I173">
        <v>2.58</v>
      </c>
      <c r="J173">
        <v>7.99</v>
      </c>
      <c r="K173" s="2">
        <f t="shared" si="4"/>
        <v>0.33957654723127034</v>
      </c>
      <c r="L173">
        <f t="shared" si="5"/>
        <v>0</v>
      </c>
    </row>
    <row r="174" spans="1:12" x14ac:dyDescent="0.2">
      <c r="A174" t="s">
        <v>185</v>
      </c>
      <c r="B174" t="s">
        <v>157</v>
      </c>
      <c r="C174">
        <v>278.39</v>
      </c>
      <c r="D174">
        <v>1</v>
      </c>
      <c r="E174">
        <v>80.150000000000006</v>
      </c>
      <c r="F174">
        <v>1</v>
      </c>
      <c r="G174">
        <v>71</v>
      </c>
      <c r="H174">
        <v>139.29</v>
      </c>
      <c r="I174">
        <v>5.97</v>
      </c>
      <c r="J174">
        <v>42.5</v>
      </c>
      <c r="K174" s="2">
        <f t="shared" si="4"/>
        <v>0.28790545637415138</v>
      </c>
      <c r="L174">
        <f t="shared" si="5"/>
        <v>0</v>
      </c>
    </row>
    <row r="175" spans="1:12" x14ac:dyDescent="0.2">
      <c r="A175" t="s">
        <v>186</v>
      </c>
      <c r="B175" t="s">
        <v>157</v>
      </c>
      <c r="C175">
        <v>176.01</v>
      </c>
      <c r="D175">
        <v>1</v>
      </c>
      <c r="E175">
        <v>76.790000000000006</v>
      </c>
      <c r="F175">
        <v>1</v>
      </c>
      <c r="G175">
        <v>47</v>
      </c>
      <c r="H175">
        <v>134.38</v>
      </c>
      <c r="I175">
        <v>4.7</v>
      </c>
      <c r="J175">
        <v>48.61</v>
      </c>
      <c r="K175" s="2">
        <f t="shared" si="4"/>
        <v>0.43628202943014605</v>
      </c>
      <c r="L175">
        <f t="shared" si="5"/>
        <v>0</v>
      </c>
    </row>
    <row r="176" spans="1:12" x14ac:dyDescent="0.2">
      <c r="A176" t="s">
        <v>187</v>
      </c>
      <c r="B176" t="s">
        <v>157</v>
      </c>
      <c r="C176">
        <v>210.62</v>
      </c>
      <c r="D176">
        <v>1</v>
      </c>
      <c r="E176">
        <v>66.39</v>
      </c>
      <c r="F176">
        <v>1</v>
      </c>
      <c r="G176">
        <v>135</v>
      </c>
      <c r="H176">
        <v>241.17</v>
      </c>
      <c r="I176">
        <v>8.3000000000000007</v>
      </c>
      <c r="J176">
        <v>77.209999999999994</v>
      </c>
      <c r="K176" s="2">
        <f t="shared" si="4"/>
        <v>0.31521223055740194</v>
      </c>
      <c r="L176">
        <f t="shared" si="5"/>
        <v>0</v>
      </c>
    </row>
    <row r="177" spans="1:12" x14ac:dyDescent="0.2">
      <c r="A177" t="s">
        <v>188</v>
      </c>
      <c r="B177" t="s">
        <v>157</v>
      </c>
      <c r="C177">
        <v>47.17</v>
      </c>
      <c r="D177">
        <v>1</v>
      </c>
      <c r="E177">
        <v>10.07</v>
      </c>
      <c r="F177">
        <v>0</v>
      </c>
      <c r="G177">
        <v>36</v>
      </c>
      <c r="H177">
        <v>34.14</v>
      </c>
      <c r="I177">
        <v>6.05</v>
      </c>
      <c r="J177">
        <v>18.989999999999998</v>
      </c>
      <c r="K177" s="2">
        <f t="shared" si="4"/>
        <v>0.21348314606741572</v>
      </c>
      <c r="L177">
        <f t="shared" si="5"/>
        <v>0</v>
      </c>
    </row>
    <row r="178" spans="1:12" x14ac:dyDescent="0.2">
      <c r="A178" t="s">
        <v>189</v>
      </c>
      <c r="B178" t="s">
        <v>157</v>
      </c>
      <c r="C178">
        <v>79.11</v>
      </c>
      <c r="D178">
        <v>1</v>
      </c>
      <c r="E178">
        <v>41.02</v>
      </c>
      <c r="F178">
        <v>0</v>
      </c>
      <c r="G178">
        <v>117</v>
      </c>
      <c r="H178">
        <v>177.39</v>
      </c>
      <c r="I178">
        <v>5.95</v>
      </c>
      <c r="J178">
        <v>45.32</v>
      </c>
      <c r="K178" s="2">
        <f t="shared" si="4"/>
        <v>0.5185185185185186</v>
      </c>
      <c r="L178">
        <f t="shared" si="5"/>
        <v>1</v>
      </c>
    </row>
    <row r="179" spans="1:12" x14ac:dyDescent="0.2">
      <c r="A179" t="s">
        <v>190</v>
      </c>
      <c r="B179" t="s">
        <v>157</v>
      </c>
      <c r="C179">
        <v>15.74</v>
      </c>
      <c r="D179">
        <v>1</v>
      </c>
      <c r="E179">
        <v>8.3000000000000007</v>
      </c>
      <c r="F179">
        <v>1</v>
      </c>
      <c r="G179">
        <v>10</v>
      </c>
      <c r="H179">
        <v>5.93</v>
      </c>
      <c r="I179">
        <v>2.25</v>
      </c>
      <c r="J179">
        <v>7.53</v>
      </c>
      <c r="K179" s="2">
        <f t="shared" si="4"/>
        <v>0.52731893265565444</v>
      </c>
      <c r="L179">
        <f t="shared" si="5"/>
        <v>1</v>
      </c>
    </row>
    <row r="180" spans="1:12" x14ac:dyDescent="0.2">
      <c r="A180" t="s">
        <v>191</v>
      </c>
      <c r="B180" t="s">
        <v>157</v>
      </c>
      <c r="C180">
        <v>79.23</v>
      </c>
      <c r="D180">
        <v>1</v>
      </c>
      <c r="E180">
        <v>33.590000000000003</v>
      </c>
      <c r="F180">
        <v>0</v>
      </c>
      <c r="G180">
        <v>43</v>
      </c>
      <c r="H180">
        <v>28.04</v>
      </c>
      <c r="I180">
        <v>2.61</v>
      </c>
      <c r="J180">
        <v>26.79</v>
      </c>
      <c r="K180" s="2">
        <f t="shared" si="4"/>
        <v>0.42395557238419795</v>
      </c>
      <c r="L180">
        <f t="shared" si="5"/>
        <v>0</v>
      </c>
    </row>
    <row r="181" spans="1:12" x14ac:dyDescent="0.2">
      <c r="A181" t="s">
        <v>192</v>
      </c>
      <c r="B181" t="s">
        <v>157</v>
      </c>
      <c r="C181">
        <v>26.68</v>
      </c>
      <c r="D181">
        <v>0</v>
      </c>
      <c r="E181">
        <v>4.7</v>
      </c>
      <c r="F181">
        <v>0</v>
      </c>
      <c r="G181">
        <v>9</v>
      </c>
      <c r="H181">
        <v>3.88</v>
      </c>
      <c r="I181">
        <v>0.87</v>
      </c>
      <c r="J181">
        <v>11.76</v>
      </c>
      <c r="K181" s="2">
        <f t="shared" si="4"/>
        <v>0.17616191904047976</v>
      </c>
      <c r="L181">
        <f t="shared" si="5"/>
        <v>0</v>
      </c>
    </row>
    <row r="182" spans="1:12" x14ac:dyDescent="0.2">
      <c r="A182" t="s">
        <v>193</v>
      </c>
      <c r="B182" t="s">
        <v>157</v>
      </c>
      <c r="C182">
        <v>19.47</v>
      </c>
      <c r="D182">
        <v>0</v>
      </c>
      <c r="E182">
        <v>8.08</v>
      </c>
      <c r="F182">
        <v>0</v>
      </c>
      <c r="G182">
        <v>6</v>
      </c>
      <c r="H182">
        <v>12.01</v>
      </c>
      <c r="I182">
        <v>1.1000000000000001</v>
      </c>
      <c r="J182">
        <v>14.38</v>
      </c>
      <c r="K182" s="2">
        <f t="shared" si="4"/>
        <v>0.41499743194658451</v>
      </c>
      <c r="L182">
        <f t="shared" si="5"/>
        <v>0</v>
      </c>
    </row>
    <row r="183" spans="1:12" x14ac:dyDescent="0.2">
      <c r="A183" t="s">
        <v>194</v>
      </c>
      <c r="B183" t="s">
        <v>157</v>
      </c>
      <c r="C183">
        <v>90.13</v>
      </c>
      <c r="D183">
        <v>0</v>
      </c>
      <c r="E183">
        <v>43.04</v>
      </c>
      <c r="F183">
        <v>1</v>
      </c>
      <c r="G183">
        <v>220</v>
      </c>
      <c r="H183">
        <v>184.72</v>
      </c>
      <c r="I183">
        <v>4.5999999999999996</v>
      </c>
      <c r="J183">
        <v>116.23</v>
      </c>
      <c r="K183" s="2">
        <f t="shared" si="4"/>
        <v>0.47753245312326642</v>
      </c>
      <c r="L183">
        <f t="shared" si="5"/>
        <v>0</v>
      </c>
    </row>
    <row r="184" spans="1:12" x14ac:dyDescent="0.2">
      <c r="A184" t="s">
        <v>195</v>
      </c>
      <c r="B184" t="s">
        <v>157</v>
      </c>
      <c r="C184">
        <v>266.36</v>
      </c>
      <c r="D184">
        <v>0</v>
      </c>
      <c r="E184">
        <v>112.72</v>
      </c>
      <c r="F184">
        <v>1</v>
      </c>
      <c r="G184">
        <v>70</v>
      </c>
      <c r="H184">
        <v>234.61</v>
      </c>
      <c r="I184">
        <v>4.4000000000000004</v>
      </c>
      <c r="J184">
        <v>63.43</v>
      </c>
      <c r="K184" s="2">
        <f t="shared" si="4"/>
        <v>0.423186664664364</v>
      </c>
      <c r="L184">
        <f t="shared" si="5"/>
        <v>0</v>
      </c>
    </row>
    <row r="185" spans="1:12" x14ac:dyDescent="0.2">
      <c r="A185" t="s">
        <v>196</v>
      </c>
      <c r="B185" t="s">
        <v>157</v>
      </c>
      <c r="C185">
        <v>44.49</v>
      </c>
      <c r="D185">
        <v>1</v>
      </c>
      <c r="E185">
        <v>19.7</v>
      </c>
      <c r="F185">
        <v>1</v>
      </c>
      <c r="G185">
        <v>108</v>
      </c>
      <c r="H185">
        <v>198.41</v>
      </c>
      <c r="I185">
        <v>6.93</v>
      </c>
      <c r="J185">
        <v>40.82</v>
      </c>
      <c r="K185" s="2">
        <f t="shared" si="4"/>
        <v>0.44279613396268819</v>
      </c>
      <c r="L185">
        <f t="shared" si="5"/>
        <v>0</v>
      </c>
    </row>
    <row r="186" spans="1:12" x14ac:dyDescent="0.2">
      <c r="A186" t="s">
        <v>197</v>
      </c>
      <c r="B186" t="s">
        <v>157</v>
      </c>
      <c r="C186">
        <v>89.26</v>
      </c>
      <c r="D186">
        <v>1</v>
      </c>
      <c r="E186">
        <v>18.23</v>
      </c>
      <c r="F186">
        <v>1</v>
      </c>
      <c r="G186">
        <v>20</v>
      </c>
      <c r="H186">
        <v>37.590000000000003</v>
      </c>
      <c r="I186">
        <v>4.4000000000000004</v>
      </c>
      <c r="J186">
        <v>16.37</v>
      </c>
      <c r="K186" s="2">
        <f t="shared" si="4"/>
        <v>0.20423481962805287</v>
      </c>
      <c r="L186">
        <f t="shared" si="5"/>
        <v>0</v>
      </c>
    </row>
    <row r="187" spans="1:12" x14ac:dyDescent="0.2">
      <c r="A187" t="s">
        <v>198</v>
      </c>
      <c r="B187" t="s">
        <v>157</v>
      </c>
      <c r="C187">
        <v>63.61</v>
      </c>
      <c r="D187">
        <v>1</v>
      </c>
      <c r="E187">
        <v>26.45</v>
      </c>
      <c r="F187">
        <v>1</v>
      </c>
      <c r="G187">
        <v>111</v>
      </c>
      <c r="H187">
        <v>135.80000000000001</v>
      </c>
      <c r="I187">
        <v>5.97</v>
      </c>
      <c r="J187">
        <v>54.32</v>
      </c>
      <c r="K187" s="2">
        <f t="shared" si="4"/>
        <v>0.41581512340826915</v>
      </c>
      <c r="L187">
        <f t="shared" si="5"/>
        <v>0</v>
      </c>
    </row>
    <row r="188" spans="1:12" x14ac:dyDescent="0.2">
      <c r="A188" t="s">
        <v>199</v>
      </c>
      <c r="B188" t="s">
        <v>157</v>
      </c>
      <c r="C188">
        <v>385.71</v>
      </c>
      <c r="D188">
        <v>0</v>
      </c>
      <c r="E188">
        <v>159.33000000000001</v>
      </c>
      <c r="F188">
        <v>1</v>
      </c>
      <c r="G188">
        <v>133</v>
      </c>
      <c r="H188">
        <v>139.68</v>
      </c>
      <c r="I188">
        <v>4.62</v>
      </c>
      <c r="J188">
        <v>55.9</v>
      </c>
      <c r="K188" s="2">
        <f t="shared" si="4"/>
        <v>0.41308236758186206</v>
      </c>
      <c r="L188">
        <f t="shared" si="5"/>
        <v>0</v>
      </c>
    </row>
    <row r="189" spans="1:12" x14ac:dyDescent="0.2">
      <c r="A189" t="s">
        <v>200</v>
      </c>
      <c r="B189" t="s">
        <v>157</v>
      </c>
      <c r="C189">
        <v>251.63</v>
      </c>
      <c r="D189">
        <v>1</v>
      </c>
      <c r="E189">
        <v>45.57</v>
      </c>
      <c r="F189">
        <v>0</v>
      </c>
      <c r="G189">
        <v>176</v>
      </c>
      <c r="H189">
        <v>84.97</v>
      </c>
      <c r="I189">
        <v>4.95</v>
      </c>
      <c r="J189">
        <v>85.74</v>
      </c>
      <c r="K189" s="2">
        <f t="shared" si="4"/>
        <v>0.18109923300083455</v>
      </c>
      <c r="L189">
        <f t="shared" si="5"/>
        <v>0</v>
      </c>
    </row>
    <row r="190" spans="1:12" x14ac:dyDescent="0.2">
      <c r="A190" t="s">
        <v>201</v>
      </c>
      <c r="B190" t="s">
        <v>157</v>
      </c>
      <c r="C190">
        <v>325.33999999999997</v>
      </c>
      <c r="D190">
        <v>0</v>
      </c>
      <c r="E190">
        <v>141.82</v>
      </c>
      <c r="F190">
        <v>1</v>
      </c>
      <c r="G190">
        <v>673</v>
      </c>
      <c r="H190">
        <v>1204.3699999999999</v>
      </c>
      <c r="I190">
        <v>10.79</v>
      </c>
      <c r="J190">
        <v>156.08000000000001</v>
      </c>
      <c r="K190" s="2">
        <f t="shared" si="4"/>
        <v>0.43591319850003074</v>
      </c>
      <c r="L190">
        <f t="shared" si="5"/>
        <v>0</v>
      </c>
    </row>
    <row r="191" spans="1:12" x14ac:dyDescent="0.2">
      <c r="A191" t="s">
        <v>202</v>
      </c>
      <c r="B191" t="s">
        <v>157</v>
      </c>
      <c r="C191">
        <v>16.62</v>
      </c>
      <c r="D191">
        <v>0</v>
      </c>
      <c r="E191">
        <v>8.1300000000000008</v>
      </c>
      <c r="F191">
        <v>0</v>
      </c>
      <c r="G191">
        <v>5</v>
      </c>
      <c r="H191">
        <v>2.21</v>
      </c>
      <c r="I191">
        <v>0.78</v>
      </c>
      <c r="J191">
        <v>6.14</v>
      </c>
      <c r="K191" s="2">
        <f t="shared" si="4"/>
        <v>0.48916967509025272</v>
      </c>
      <c r="L191">
        <f t="shared" si="5"/>
        <v>0</v>
      </c>
    </row>
    <row r="192" spans="1:12" x14ac:dyDescent="0.2">
      <c r="A192" t="s">
        <v>203</v>
      </c>
      <c r="B192" t="s">
        <v>157</v>
      </c>
      <c r="C192">
        <v>455.08</v>
      </c>
      <c r="D192">
        <v>0</v>
      </c>
      <c r="E192">
        <v>66.510000000000005</v>
      </c>
      <c r="F192">
        <v>0</v>
      </c>
      <c r="G192">
        <v>13</v>
      </c>
      <c r="H192">
        <v>168.51</v>
      </c>
      <c r="I192">
        <v>1.54</v>
      </c>
      <c r="J192">
        <v>115.57</v>
      </c>
      <c r="K192" s="2">
        <f t="shared" si="4"/>
        <v>0.14615012745011868</v>
      </c>
      <c r="L192">
        <f t="shared" si="5"/>
        <v>0</v>
      </c>
    </row>
    <row r="193" spans="1:12" x14ac:dyDescent="0.2">
      <c r="A193" t="s">
        <v>204</v>
      </c>
      <c r="B193" t="s">
        <v>157</v>
      </c>
      <c r="C193">
        <v>239.73</v>
      </c>
      <c r="D193">
        <v>1</v>
      </c>
      <c r="E193">
        <v>123.21</v>
      </c>
      <c r="F193">
        <v>0</v>
      </c>
      <c r="G193">
        <v>148</v>
      </c>
      <c r="H193">
        <v>77.510000000000005</v>
      </c>
      <c r="I193">
        <v>4.4000000000000004</v>
      </c>
      <c r="J193">
        <v>46.61</v>
      </c>
      <c r="K193" s="2">
        <f t="shared" si="4"/>
        <v>0.51395319734701539</v>
      </c>
      <c r="L193">
        <f t="shared" si="5"/>
        <v>1</v>
      </c>
    </row>
    <row r="194" spans="1:12" x14ac:dyDescent="0.2">
      <c r="A194" t="s">
        <v>205</v>
      </c>
      <c r="B194" t="s">
        <v>157</v>
      </c>
      <c r="C194">
        <v>163.89</v>
      </c>
      <c r="D194">
        <v>1</v>
      </c>
      <c r="E194">
        <v>57.35</v>
      </c>
      <c r="F194">
        <v>1</v>
      </c>
      <c r="G194">
        <v>107</v>
      </c>
      <c r="H194">
        <v>120.17</v>
      </c>
      <c r="I194">
        <v>5.23</v>
      </c>
      <c r="J194">
        <v>34.67</v>
      </c>
      <c r="K194" s="2">
        <f t="shared" si="4"/>
        <v>0.34992983098419678</v>
      </c>
      <c r="L194">
        <f t="shared" si="5"/>
        <v>0</v>
      </c>
    </row>
    <row r="195" spans="1:12" x14ac:dyDescent="0.2">
      <c r="A195" t="s">
        <v>206</v>
      </c>
      <c r="B195" t="s">
        <v>157</v>
      </c>
      <c r="C195">
        <v>12.63</v>
      </c>
      <c r="D195">
        <v>0</v>
      </c>
      <c r="E195">
        <v>8.8699999999999992</v>
      </c>
      <c r="F195">
        <v>1</v>
      </c>
      <c r="G195">
        <v>7</v>
      </c>
      <c r="H195">
        <v>13.14</v>
      </c>
      <c r="I195">
        <v>1.74</v>
      </c>
      <c r="J195">
        <v>12.44</v>
      </c>
      <c r="K195" s="2">
        <f t="shared" ref="K195:K201" si="6">E195/C195</f>
        <v>0.70229612034837674</v>
      </c>
      <c r="L195">
        <f t="shared" ref="L195:L201" si="7">IF(K195&gt;0.5,1,0)</f>
        <v>1</v>
      </c>
    </row>
    <row r="196" spans="1:12" x14ac:dyDescent="0.2">
      <c r="A196" t="s">
        <v>207</v>
      </c>
      <c r="B196" t="s">
        <v>157</v>
      </c>
      <c r="C196">
        <v>116.43</v>
      </c>
      <c r="D196">
        <v>1</v>
      </c>
      <c r="E196">
        <v>28.45</v>
      </c>
      <c r="F196">
        <v>0</v>
      </c>
      <c r="G196">
        <v>32</v>
      </c>
      <c r="H196">
        <v>24.45</v>
      </c>
      <c r="I196">
        <v>5.78</v>
      </c>
      <c r="J196">
        <v>12.48</v>
      </c>
      <c r="K196" s="2">
        <f t="shared" si="6"/>
        <v>0.24435283002662542</v>
      </c>
      <c r="L196">
        <f t="shared" si="7"/>
        <v>0</v>
      </c>
    </row>
    <row r="197" spans="1:12" x14ac:dyDescent="0.2">
      <c r="A197" t="s">
        <v>208</v>
      </c>
      <c r="B197" t="s">
        <v>157</v>
      </c>
      <c r="C197">
        <v>17.78</v>
      </c>
      <c r="D197">
        <v>1</v>
      </c>
      <c r="E197">
        <v>7.63</v>
      </c>
      <c r="F197">
        <v>0</v>
      </c>
      <c r="G197">
        <v>5</v>
      </c>
      <c r="H197">
        <v>9.51</v>
      </c>
      <c r="I197">
        <v>3.52</v>
      </c>
      <c r="J197">
        <v>6.38</v>
      </c>
      <c r="K197" s="2">
        <f t="shared" si="6"/>
        <v>0.42913385826771649</v>
      </c>
      <c r="L197">
        <f t="shared" si="7"/>
        <v>0</v>
      </c>
    </row>
    <row r="198" spans="1:12" x14ac:dyDescent="0.2">
      <c r="A198" t="s">
        <v>209</v>
      </c>
      <c r="B198" t="s">
        <v>157</v>
      </c>
      <c r="C198">
        <v>241.56</v>
      </c>
      <c r="D198">
        <v>0</v>
      </c>
      <c r="E198">
        <v>90.73</v>
      </c>
      <c r="F198">
        <v>1</v>
      </c>
      <c r="G198">
        <v>75</v>
      </c>
      <c r="H198">
        <v>141.80000000000001</v>
      </c>
      <c r="I198">
        <v>7.21</v>
      </c>
      <c r="J198">
        <v>73.53</v>
      </c>
      <c r="K198" s="2">
        <f t="shared" si="6"/>
        <v>0.37560026494452725</v>
      </c>
      <c r="L198">
        <f t="shared" si="7"/>
        <v>0</v>
      </c>
    </row>
    <row r="199" spans="1:12" x14ac:dyDescent="0.2">
      <c r="A199" t="s">
        <v>210</v>
      </c>
      <c r="B199" t="s">
        <v>157</v>
      </c>
      <c r="C199">
        <v>14.55</v>
      </c>
      <c r="D199">
        <v>1</v>
      </c>
      <c r="E199">
        <v>10.07</v>
      </c>
      <c r="F199">
        <v>1</v>
      </c>
      <c r="G199">
        <v>2</v>
      </c>
      <c r="H199">
        <v>10.35</v>
      </c>
      <c r="I199">
        <v>2.81</v>
      </c>
      <c r="J199">
        <v>8.08</v>
      </c>
      <c r="K199" s="2">
        <f t="shared" si="6"/>
        <v>0.69209621993127146</v>
      </c>
      <c r="L199">
        <f t="shared" si="7"/>
        <v>1</v>
      </c>
    </row>
    <row r="200" spans="1:12" x14ac:dyDescent="0.2">
      <c r="A200" t="s">
        <v>211</v>
      </c>
      <c r="B200" t="s">
        <v>157</v>
      </c>
      <c r="C200">
        <v>13.69</v>
      </c>
      <c r="D200">
        <v>1</v>
      </c>
      <c r="E200">
        <v>6.83</v>
      </c>
      <c r="F200">
        <v>1</v>
      </c>
      <c r="G200">
        <v>8</v>
      </c>
      <c r="H200">
        <v>6.18</v>
      </c>
      <c r="I200">
        <v>4.01</v>
      </c>
      <c r="J200">
        <v>6.88</v>
      </c>
      <c r="K200" s="2">
        <f t="shared" si="6"/>
        <v>0.49890430971512056</v>
      </c>
      <c r="L200">
        <f t="shared" si="7"/>
        <v>0</v>
      </c>
    </row>
    <row r="201" spans="1:12" x14ac:dyDescent="0.2">
      <c r="A201" t="s">
        <v>212</v>
      </c>
      <c r="B201" t="s">
        <v>157</v>
      </c>
      <c r="C201">
        <v>20.079999999999998</v>
      </c>
      <c r="D201">
        <v>0</v>
      </c>
      <c r="E201">
        <v>16.48</v>
      </c>
      <c r="F201">
        <v>0</v>
      </c>
      <c r="G201">
        <v>3</v>
      </c>
      <c r="H201">
        <v>5.75</v>
      </c>
      <c r="I201">
        <v>1.33</v>
      </c>
      <c r="J201">
        <v>9.58</v>
      </c>
      <c r="K201" s="2">
        <f t="shared" si="6"/>
        <v>0.82071713147410363</v>
      </c>
      <c r="L201">
        <f t="shared" si="7"/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EEB43-D9E9-BF4E-8ECE-373E058E4750}">
  <dimension ref="A1:N34"/>
  <sheetViews>
    <sheetView zoomScaleNormal="80" workbookViewId="0">
      <selection activeCell="F19" sqref="F19"/>
    </sheetView>
  </sheetViews>
  <sheetFormatPr baseColWidth="10" defaultRowHeight="16" x14ac:dyDescent="0.2"/>
  <cols>
    <col min="1" max="1" width="15.5" customWidth="1"/>
    <col min="2" max="2" width="20.5" customWidth="1"/>
    <col min="3" max="3" width="12.83203125" customWidth="1"/>
    <col min="5" max="6" width="12.5" customWidth="1"/>
    <col min="7" max="7" width="12" customWidth="1"/>
    <col min="12" max="12" width="12.6640625" bestFit="1" customWidth="1"/>
  </cols>
  <sheetData>
    <row r="1" spans="1:14" x14ac:dyDescent="0.2">
      <c r="A1" s="1" t="s">
        <v>213</v>
      </c>
    </row>
    <row r="3" spans="1:14" x14ac:dyDescent="0.2">
      <c r="A3" s="1" t="s">
        <v>216</v>
      </c>
      <c r="G3" t="s">
        <v>237</v>
      </c>
      <c r="L3" t="s">
        <v>245</v>
      </c>
    </row>
    <row r="4" spans="1:14" x14ac:dyDescent="0.2">
      <c r="A4" s="1" t="s">
        <v>228</v>
      </c>
      <c r="G4" s="8"/>
      <c r="H4" s="8" t="s">
        <v>238</v>
      </c>
      <c r="I4" s="8" t="s">
        <v>239</v>
      </c>
      <c r="J4" s="8" t="s">
        <v>244</v>
      </c>
      <c r="L4" s="8"/>
      <c r="M4" s="8" t="s">
        <v>238</v>
      </c>
      <c r="N4" s="8" t="s">
        <v>239</v>
      </c>
    </row>
    <row r="5" spans="1:14" x14ac:dyDescent="0.2">
      <c r="A5" s="4" t="s">
        <v>225</v>
      </c>
      <c r="B5" s="4" t="s">
        <v>230</v>
      </c>
      <c r="E5" s="21" t="s">
        <v>277</v>
      </c>
      <c r="F5" s="19"/>
      <c r="G5" s="8" t="s">
        <v>243</v>
      </c>
      <c r="H5" s="8">
        <f>B7</f>
        <v>66</v>
      </c>
      <c r="I5" s="8">
        <f>C7</f>
        <v>47</v>
      </c>
      <c r="J5" s="8">
        <f>H5+I5</f>
        <v>113</v>
      </c>
      <c r="L5" s="8" t="s">
        <v>243</v>
      </c>
      <c r="M5" s="8">
        <f>J5*H7/J7</f>
        <v>67.8</v>
      </c>
      <c r="N5" s="8">
        <f>J5*I7/J7</f>
        <v>45.2</v>
      </c>
    </row>
    <row r="6" spans="1:14" x14ac:dyDescent="0.2">
      <c r="A6" s="4" t="s">
        <v>224</v>
      </c>
      <c r="B6">
        <v>0</v>
      </c>
      <c r="C6">
        <v>1</v>
      </c>
      <c r="D6" t="s">
        <v>217</v>
      </c>
      <c r="E6" s="21"/>
      <c r="F6" s="19"/>
      <c r="G6" s="8" t="s">
        <v>242</v>
      </c>
      <c r="H6" s="8">
        <f>B8</f>
        <v>54</v>
      </c>
      <c r="I6" s="8">
        <f>C8</f>
        <v>33</v>
      </c>
      <c r="J6" s="8">
        <f>H6+I6</f>
        <v>87</v>
      </c>
      <c r="L6" s="8" t="s">
        <v>242</v>
      </c>
      <c r="M6" s="8">
        <f>J6*H7/J7</f>
        <v>52.2</v>
      </c>
      <c r="N6" s="8">
        <f>J6*I7/J7</f>
        <v>34.799999999999997</v>
      </c>
    </row>
    <row r="7" spans="1:14" ht="34" x14ac:dyDescent="0.2">
      <c r="A7" s="5">
        <v>0</v>
      </c>
      <c r="B7" s="3">
        <v>66</v>
      </c>
      <c r="C7" s="3">
        <v>47</v>
      </c>
      <c r="D7" s="3">
        <v>113</v>
      </c>
      <c r="E7" s="22">
        <f>GETPIVOTDATA("ID",$A$5,"Waste_red",1,"high performer",0)/GETPIVOTDATA("ID",$A$5,"high performer",0)</f>
        <v>0.41592920353982299</v>
      </c>
      <c r="G7" s="8"/>
      <c r="H7" s="8">
        <f>H5+H6</f>
        <v>120</v>
      </c>
      <c r="I7" s="8">
        <f>I5+I6</f>
        <v>80</v>
      </c>
      <c r="J7" s="8">
        <f>J5+J6</f>
        <v>200</v>
      </c>
      <c r="K7" s="11" t="s">
        <v>246</v>
      </c>
      <c r="L7" s="2">
        <f>_xlfn.CHISQ.TEST(H5:I6,M5:N6)</f>
        <v>0.60023511205236713</v>
      </c>
    </row>
    <row r="8" spans="1:14" x14ac:dyDescent="0.2">
      <c r="A8" s="5">
        <v>1</v>
      </c>
      <c r="B8" s="3">
        <v>54</v>
      </c>
      <c r="C8" s="3">
        <v>33</v>
      </c>
      <c r="D8" s="3">
        <v>87</v>
      </c>
      <c r="E8" s="22">
        <f>GETPIVOTDATA("ID",$A$5,"Waste_red",1,"high performer",1)/GETPIVOTDATA("ID",$A$5,"high performer",1)</f>
        <v>0.37931034482758619</v>
      </c>
    </row>
    <row r="9" spans="1:14" x14ac:dyDescent="0.2">
      <c r="A9" s="5" t="s">
        <v>217</v>
      </c>
      <c r="B9" s="3">
        <v>120</v>
      </c>
      <c r="C9" s="3">
        <v>80</v>
      </c>
      <c r="D9" s="3">
        <v>200</v>
      </c>
      <c r="E9" s="23"/>
    </row>
    <row r="10" spans="1:14" x14ac:dyDescent="0.2">
      <c r="A10" t="s">
        <v>240</v>
      </c>
      <c r="C10">
        <f>GETPIVOTDATA("ID",$A$5,"high performer",1)</f>
        <v>87</v>
      </c>
      <c r="D10" t="s">
        <v>241</v>
      </c>
      <c r="E10" s="7">
        <f>GETPIVOTDATA("ID",$A$5)</f>
        <v>200</v>
      </c>
    </row>
    <row r="12" spans="1:14" x14ac:dyDescent="0.2">
      <c r="A12" s="1"/>
    </row>
    <row r="14" spans="1:14" ht="30" customHeight="1" x14ac:dyDescent="0.2">
      <c r="A14" s="8" t="s">
        <v>218</v>
      </c>
      <c r="B14" s="8" t="s">
        <v>219</v>
      </c>
      <c r="C14" s="8" t="s">
        <v>220</v>
      </c>
      <c r="D14" s="8" t="s">
        <v>221</v>
      </c>
      <c r="E14" s="9" t="s">
        <v>222</v>
      </c>
      <c r="F14" s="17"/>
      <c r="H14" s="1" t="s">
        <v>226</v>
      </c>
    </row>
    <row r="15" spans="1:14" x14ac:dyDescent="0.2">
      <c r="A15" s="8">
        <v>0</v>
      </c>
      <c r="B15" s="8">
        <f>B7</f>
        <v>66</v>
      </c>
      <c r="C15" s="8">
        <f>C7</f>
        <v>47</v>
      </c>
      <c r="D15" s="8">
        <f>B15+C15</f>
        <v>113</v>
      </c>
      <c r="E15" s="10">
        <f>C15/D15</f>
        <v>0.41592920353982299</v>
      </c>
      <c r="F15" s="20"/>
      <c r="H15" s="1" t="s">
        <v>227</v>
      </c>
    </row>
    <row r="16" spans="1:14" x14ac:dyDescent="0.2">
      <c r="A16" s="8">
        <v>1</v>
      </c>
      <c r="B16" s="8">
        <f>B8</f>
        <v>54</v>
      </c>
      <c r="C16" s="8">
        <f>C8</f>
        <v>33</v>
      </c>
      <c r="D16" s="8">
        <f>B16+C16</f>
        <v>87</v>
      </c>
      <c r="E16" s="10">
        <f>C16/D16</f>
        <v>0.37931034482758619</v>
      </c>
      <c r="F16" s="20"/>
    </row>
    <row r="17" spans="1:8" ht="16" customHeight="1" x14ac:dyDescent="0.2"/>
    <row r="19" spans="1:8" x14ac:dyDescent="0.2">
      <c r="A19" s="1" t="s">
        <v>229</v>
      </c>
    </row>
    <row r="20" spans="1:8" x14ac:dyDescent="0.2">
      <c r="A20" s="4" t="s">
        <v>223</v>
      </c>
      <c r="B20" s="4" t="s">
        <v>230</v>
      </c>
      <c r="E20" s="21" t="s">
        <v>277</v>
      </c>
    </row>
    <row r="21" spans="1:8" x14ac:dyDescent="0.2">
      <c r="A21" s="4" t="s">
        <v>224</v>
      </c>
      <c r="B21">
        <v>0</v>
      </c>
      <c r="C21">
        <v>1</v>
      </c>
      <c r="D21" t="s">
        <v>217</v>
      </c>
      <c r="E21" s="21"/>
    </row>
    <row r="22" spans="1:8" x14ac:dyDescent="0.2">
      <c r="A22" s="5">
        <v>0</v>
      </c>
      <c r="B22" s="3">
        <v>39</v>
      </c>
      <c r="C22" s="3">
        <v>74</v>
      </c>
      <c r="D22" s="3">
        <v>113</v>
      </c>
      <c r="E22" s="22">
        <f>GETPIVOTDATA("ID",$A$20,"Green_In",1,"high performer",0)/GETPIVOTDATA("ID",$A$20,"high performer",0)</f>
        <v>0.65486725663716816</v>
      </c>
    </row>
    <row r="23" spans="1:8" x14ac:dyDescent="0.2">
      <c r="A23" s="5">
        <v>1</v>
      </c>
      <c r="B23" s="3">
        <v>30</v>
      </c>
      <c r="C23" s="3">
        <v>57</v>
      </c>
      <c r="D23" s="3">
        <v>87</v>
      </c>
      <c r="E23" s="22">
        <f>GETPIVOTDATA("ID",$A$20,"Green_In",1,"high performer",1)/GETPIVOTDATA("ID",$A$20,"high performer",1)</f>
        <v>0.65517241379310343</v>
      </c>
    </row>
    <row r="24" spans="1:8" x14ac:dyDescent="0.2">
      <c r="A24" s="5" t="s">
        <v>217</v>
      </c>
      <c r="B24" s="3">
        <v>69</v>
      </c>
      <c r="C24" s="3">
        <v>131</v>
      </c>
      <c r="D24" s="3">
        <v>200</v>
      </c>
      <c r="E24" s="23"/>
    </row>
    <row r="27" spans="1:8" x14ac:dyDescent="0.2">
      <c r="A27" s="8" t="s">
        <v>218</v>
      </c>
      <c r="B27" s="8" t="s">
        <v>231</v>
      </c>
      <c r="C27" s="8" t="s">
        <v>232</v>
      </c>
      <c r="D27" s="8" t="s">
        <v>221</v>
      </c>
      <c r="E27" s="8" t="s">
        <v>222</v>
      </c>
      <c r="F27" s="6"/>
      <c r="H27" s="1" t="s">
        <v>233</v>
      </c>
    </row>
    <row r="28" spans="1:8" x14ac:dyDescent="0.2">
      <c r="A28" s="8">
        <v>0</v>
      </c>
      <c r="B28" s="8">
        <f>B22</f>
        <v>39</v>
      </c>
      <c r="C28" s="8">
        <f>C22</f>
        <v>74</v>
      </c>
      <c r="D28" s="8">
        <f>B28+C28</f>
        <v>113</v>
      </c>
      <c r="E28" s="10">
        <f>C28/D28</f>
        <v>0.65486725663716816</v>
      </c>
      <c r="F28" s="20"/>
      <c r="H28" s="1" t="s">
        <v>234</v>
      </c>
    </row>
    <row r="29" spans="1:8" x14ac:dyDescent="0.2">
      <c r="A29" s="8">
        <v>1</v>
      </c>
      <c r="B29" s="8">
        <f>B23</f>
        <v>30</v>
      </c>
      <c r="C29" s="8">
        <f>C23</f>
        <v>57</v>
      </c>
      <c r="D29" s="8">
        <f>B29+C29</f>
        <v>87</v>
      </c>
      <c r="E29" s="10">
        <f>C29/D29</f>
        <v>0.65517241379310343</v>
      </c>
      <c r="F29" s="20"/>
    </row>
    <row r="33" spans="1:2" ht="34" x14ac:dyDescent="0.2">
      <c r="A33" s="9" t="s">
        <v>236</v>
      </c>
      <c r="B33" s="12">
        <f>C16/D16</f>
        <v>0.37931034482758619</v>
      </c>
    </row>
    <row r="34" spans="1:2" ht="34" x14ac:dyDescent="0.2">
      <c r="A34" s="9" t="s">
        <v>235</v>
      </c>
      <c r="B34" s="12">
        <f>C29/D29</f>
        <v>0.65517241379310343</v>
      </c>
    </row>
  </sheetData>
  <mergeCells count="2">
    <mergeCell ref="E5:E6"/>
    <mergeCell ref="E20:E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4AD38-EB45-4744-91CE-44E8FED4B43D}">
  <dimension ref="A1:D26"/>
  <sheetViews>
    <sheetView workbookViewId="0">
      <selection activeCell="D12" sqref="D12"/>
    </sheetView>
  </sheetViews>
  <sheetFormatPr baseColWidth="10" defaultRowHeight="16" x14ac:dyDescent="0.2"/>
  <cols>
    <col min="1" max="1" width="21.83203125" customWidth="1"/>
  </cols>
  <sheetData>
    <row r="1" spans="1:4" x14ac:dyDescent="0.2">
      <c r="A1" s="1" t="s">
        <v>247</v>
      </c>
    </row>
    <row r="3" spans="1:4" x14ac:dyDescent="0.2">
      <c r="A3" s="1" t="s">
        <v>248</v>
      </c>
    </row>
    <row r="5" spans="1:4" ht="17" x14ac:dyDescent="0.2">
      <c r="A5" s="9" t="s">
        <v>249</v>
      </c>
      <c r="B5" s="8" t="s">
        <v>250</v>
      </c>
      <c r="C5" s="8" t="s">
        <v>251</v>
      </c>
      <c r="D5" s="8" t="s">
        <v>252</v>
      </c>
    </row>
    <row r="6" spans="1:4" ht="17" x14ac:dyDescent="0.2">
      <c r="A6" s="9" t="s">
        <v>253</v>
      </c>
      <c r="B6" s="8">
        <f>COUNTIF([1]Sheet1!D:D,1)</f>
        <v>80</v>
      </c>
      <c r="C6" s="14">
        <f>AVERAGEIF([1]Sheet1!D:D,1,[1]Sheet1!J:J)</f>
        <v>30.058500000000002</v>
      </c>
      <c r="D6" s="14">
        <f>SQRT(SUMPRODUCT(([1]Sheet1!J$2:J$201*([1]Sheet1!D$2:D$201=1)-C6)^2*([1]Sheet1!D$2:D$201=1))/(B6-1))</f>
        <v>26.377438772605121</v>
      </c>
    </row>
    <row r="7" spans="1:4" ht="34" x14ac:dyDescent="0.2">
      <c r="A7" s="9" t="s">
        <v>254</v>
      </c>
      <c r="B7" s="8">
        <f>COUNTIF([1]Sheet1!D:D,0)</f>
        <v>120</v>
      </c>
      <c r="C7" s="14">
        <f>AVERAGEIF([1]Sheet1!D:D,0,[1]Sheet1!J:J)</f>
        <v>35.929333333333325</v>
      </c>
      <c r="D7" s="14">
        <f>SQRT(SUMPRODUCT(([1]Sheet1!J$2:J$201*([1]Sheet1!D$2:D$201=0)-C7)^2*([1]Sheet1!D$2:D$201=0))/(B7-1))</f>
        <v>40.30707994471279</v>
      </c>
    </row>
    <row r="8" spans="1:4" x14ac:dyDescent="0.2">
      <c r="A8" s="11"/>
    </row>
    <row r="9" spans="1:4" ht="34" x14ac:dyDescent="0.2">
      <c r="A9" s="9" t="s">
        <v>255</v>
      </c>
      <c r="B9" s="14">
        <f>C6-C7</f>
        <v>-5.8708333333333229</v>
      </c>
    </row>
    <row r="10" spans="1:4" ht="17" x14ac:dyDescent="0.2">
      <c r="A10" s="9" t="s">
        <v>256</v>
      </c>
      <c r="B10" s="12">
        <f>(C6-C7)/SQRT(D6^2/B6+D7^2/B7)</f>
        <v>-1.2450071842608625</v>
      </c>
    </row>
    <row r="11" spans="1:4" ht="17" x14ac:dyDescent="0.2">
      <c r="A11" s="9" t="s">
        <v>257</v>
      </c>
      <c r="B11" s="15">
        <f>(D6^2/B6+D7^2/B7)^2/((D6^2/B6)^2/(B6-1)+(D7^2/B7)^2/(B7-1))</f>
        <v>197.94898377948374</v>
      </c>
    </row>
    <row r="12" spans="1:4" ht="17" x14ac:dyDescent="0.2">
      <c r="A12" s="9" t="s">
        <v>258</v>
      </c>
      <c r="B12" s="12">
        <f>2*_xlfn.T.DIST.RT(ABS(B10),B11)</f>
        <v>0.21460806214790618</v>
      </c>
      <c r="D12" s="1"/>
    </row>
    <row r="13" spans="1:4" ht="34" x14ac:dyDescent="0.2">
      <c r="A13" s="9" t="s">
        <v>259</v>
      </c>
      <c r="B13" s="8" t="str">
        <f>IF(B12&lt;0.05,"Yes","No")</f>
        <v>No</v>
      </c>
    </row>
    <row r="14" spans="1:4" x14ac:dyDescent="0.2">
      <c r="A14" s="11"/>
    </row>
    <row r="15" spans="1:4" x14ac:dyDescent="0.2">
      <c r="A15" s="11"/>
    </row>
    <row r="16" spans="1:4" ht="51" x14ac:dyDescent="0.2">
      <c r="A16" s="13" t="s">
        <v>229</v>
      </c>
    </row>
    <row r="17" spans="1:4" x14ac:dyDescent="0.2">
      <c r="A17" s="11"/>
    </row>
    <row r="18" spans="1:4" ht="17" x14ac:dyDescent="0.2">
      <c r="A18" s="9" t="s">
        <v>249</v>
      </c>
      <c r="B18" s="8" t="s">
        <v>250</v>
      </c>
      <c r="C18" s="8" t="s">
        <v>251</v>
      </c>
      <c r="D18" s="8" t="s">
        <v>252</v>
      </c>
    </row>
    <row r="19" spans="1:4" ht="17" x14ac:dyDescent="0.2">
      <c r="A19" s="9" t="s">
        <v>253</v>
      </c>
      <c r="B19" s="8">
        <f>COUNTIF([1]Sheet1!F:F,1)</f>
        <v>131</v>
      </c>
      <c r="C19" s="14">
        <f>AVERAGEIF([1]Sheet1!F:F,1,[1]Sheet1!J:J)</f>
        <v>33.115648854961833</v>
      </c>
      <c r="D19" s="14">
        <f>SQRT(SUMPRODUCT(([1]Sheet1!J$2:J$201*([1]Sheet1!F$2:F$201=1)-C19)^2*([1]Sheet1!F$2:F$201=1))/(B19-1))</f>
        <v>35.512007678860414</v>
      </c>
    </row>
    <row r="20" spans="1:4" ht="34" x14ac:dyDescent="0.2">
      <c r="A20" s="9" t="s">
        <v>254</v>
      </c>
      <c r="B20" s="8">
        <f>COUNTIF([1]Sheet1!F:F,0)</f>
        <v>69</v>
      </c>
      <c r="C20" s="14">
        <f>AVERAGEIF([1]Sheet1!F:F,0,[1]Sheet1!J:J)</f>
        <v>34.464492753623198</v>
      </c>
      <c r="D20" s="14">
        <f>SQRT(SUMPRODUCT(([1]Sheet1!J$2:J$201*([1]Sheet1!F$2:F$201=0)-C20)^2*([1]Sheet1!F$2:F$201=0))/(B20-1))</f>
        <v>35.548065990919952</v>
      </c>
    </row>
    <row r="21" spans="1:4" x14ac:dyDescent="0.2">
      <c r="A21" s="11"/>
    </row>
    <row r="22" spans="1:4" ht="34" x14ac:dyDescent="0.2">
      <c r="A22" s="9" t="s">
        <v>255</v>
      </c>
      <c r="B22" s="14">
        <f>C19-C20</f>
        <v>-1.3488438986613644</v>
      </c>
    </row>
    <row r="23" spans="1:4" ht="17" x14ac:dyDescent="0.2">
      <c r="A23" s="9" t="s">
        <v>256</v>
      </c>
      <c r="B23" s="12">
        <f>(C19-C20)/SQRT(D19^2/B19+D20^2/B20)</f>
        <v>-0.25517778759371179</v>
      </c>
    </row>
    <row r="24" spans="1:4" ht="17" x14ac:dyDescent="0.2">
      <c r="A24" s="9" t="s">
        <v>257</v>
      </c>
      <c r="B24" s="15">
        <f>(D19^2/B19+D20^2/B20)^2/((D19^2/B19)^2/(B19-1)+(D20^2/B20)^2/(B20-1))</f>
        <v>138.29016060213792</v>
      </c>
    </row>
    <row r="25" spans="1:4" ht="34" x14ac:dyDescent="0.2">
      <c r="A25" s="9" t="s">
        <v>258</v>
      </c>
      <c r="B25" s="12">
        <f>2*_xlfn.SINGLE(_xlfn.T.DIST.RT(ABS(B23),B24))</f>
        <v>0.79896569944307605</v>
      </c>
    </row>
    <row r="26" spans="1:4" ht="34" x14ac:dyDescent="0.2">
      <c r="A26" s="9" t="s">
        <v>259</v>
      </c>
      <c r="B26" s="8" t="str">
        <f>IF(B25&lt;0.05,"Yes","No")</f>
        <v>No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E41AC-0809-E142-84CB-914F42137827}">
  <dimension ref="A1:E27"/>
  <sheetViews>
    <sheetView zoomScale="80" zoomScaleNormal="80" workbookViewId="0">
      <selection activeCell="C11" sqref="C11"/>
    </sheetView>
  </sheetViews>
  <sheetFormatPr baseColWidth="10" defaultRowHeight="16" x14ac:dyDescent="0.2"/>
  <cols>
    <col min="1" max="1" width="24.83203125" customWidth="1"/>
    <col min="2" max="2" width="21" customWidth="1"/>
    <col min="3" max="3" width="12.33203125" customWidth="1"/>
  </cols>
  <sheetData>
    <row r="1" spans="1:4" x14ac:dyDescent="0.2">
      <c r="A1" s="1" t="s">
        <v>260</v>
      </c>
    </row>
    <row r="3" spans="1:4" x14ac:dyDescent="0.2">
      <c r="A3" s="1" t="s">
        <v>261</v>
      </c>
    </row>
    <row r="6" spans="1:4" ht="17" x14ac:dyDescent="0.2">
      <c r="A6" s="9" t="s">
        <v>1</v>
      </c>
      <c r="B6" s="8" t="s">
        <v>262</v>
      </c>
      <c r="C6" s="8" t="s">
        <v>263</v>
      </c>
      <c r="D6" s="8" t="s">
        <v>244</v>
      </c>
    </row>
    <row r="7" spans="1:4" ht="34" x14ac:dyDescent="0.2">
      <c r="A7" s="9" t="s">
        <v>264</v>
      </c>
      <c r="B7" s="8">
        <f>COUNTIFS([1]Sheet1!B:B,"Manuf",[1]Sheet1!L:L,1)</f>
        <v>26</v>
      </c>
      <c r="C7" s="8">
        <f>COUNTIFS([1]Sheet1!B:B,"Manuf",[1]Sheet1!L:L,0)</f>
        <v>34</v>
      </c>
      <c r="D7" s="8">
        <f>B7+C7</f>
        <v>60</v>
      </c>
    </row>
    <row r="8" spans="1:4" ht="34" x14ac:dyDescent="0.2">
      <c r="A8" s="9" t="s">
        <v>265</v>
      </c>
      <c r="B8" s="8">
        <f>COUNTIFS([1]Sheet1!B:B,"Transp",[1]Sheet1!L:L,1)</f>
        <v>52</v>
      </c>
      <c r="C8" s="8">
        <f>COUNTIFS([1]Sheet1!B:B,"Transp",[1]Sheet1!L:L,0)</f>
        <v>32</v>
      </c>
      <c r="D8" s="8">
        <f>B8+C8</f>
        <v>84</v>
      </c>
    </row>
    <row r="9" spans="1:4" ht="17" x14ac:dyDescent="0.2">
      <c r="A9" s="9" t="s">
        <v>244</v>
      </c>
      <c r="B9" s="8">
        <f>B7+B8</f>
        <v>78</v>
      </c>
      <c r="C9" s="8">
        <f t="shared" ref="C9:D9" si="0">C7+C8</f>
        <v>66</v>
      </c>
      <c r="D9" s="8">
        <f t="shared" si="0"/>
        <v>144</v>
      </c>
    </row>
    <row r="10" spans="1:4" x14ac:dyDescent="0.2">
      <c r="A10" s="11"/>
    </row>
    <row r="11" spans="1:4" ht="51" x14ac:dyDescent="0.2">
      <c r="A11" s="9" t="s">
        <v>266</v>
      </c>
      <c r="B11" s="8" t="s">
        <v>264</v>
      </c>
      <c r="C11" s="16">
        <f>B7/D7</f>
        <v>0.43333333333333335</v>
      </c>
    </row>
    <row r="12" spans="1:4" x14ac:dyDescent="0.2">
      <c r="A12" s="9"/>
      <c r="B12" s="8" t="s">
        <v>265</v>
      </c>
      <c r="C12" s="16">
        <f>B8/D8</f>
        <v>0.61904761904761907</v>
      </c>
    </row>
    <row r="13" spans="1:4" x14ac:dyDescent="0.2">
      <c r="A13" s="11"/>
    </row>
    <row r="14" spans="1:4" x14ac:dyDescent="0.2">
      <c r="A14" s="11"/>
    </row>
    <row r="15" spans="1:4" ht="68" x14ac:dyDescent="0.2">
      <c r="A15" s="9" t="s">
        <v>267</v>
      </c>
      <c r="B15" s="8"/>
    </row>
    <row r="16" spans="1:4" ht="17" x14ac:dyDescent="0.2">
      <c r="A16" s="9" t="s">
        <v>268</v>
      </c>
      <c r="B16" s="8">
        <f>SUM(D7:D8)</f>
        <v>144</v>
      </c>
    </row>
    <row r="17" spans="1:5" x14ac:dyDescent="0.2">
      <c r="A17" s="11"/>
    </row>
    <row r="18" spans="1:5" ht="17" x14ac:dyDescent="0.2">
      <c r="A18" s="17" t="s">
        <v>276</v>
      </c>
      <c r="B18" s="6"/>
      <c r="C18" s="6"/>
      <c r="E18" s="18"/>
    </row>
    <row r="19" spans="1:5" x14ac:dyDescent="0.2">
      <c r="A19" s="8"/>
      <c r="B19" s="8" t="s">
        <v>11</v>
      </c>
      <c r="C19" s="8" t="s">
        <v>72</v>
      </c>
    </row>
    <row r="20" spans="1:5" x14ac:dyDescent="0.2">
      <c r="A20" s="8" t="s">
        <v>274</v>
      </c>
      <c r="B20" s="14">
        <f>$D7*$B9/$D$9</f>
        <v>32.5</v>
      </c>
      <c r="C20" s="8">
        <f>$D8*$B9/$D$9</f>
        <v>45.5</v>
      </c>
    </row>
    <row r="21" spans="1:5" x14ac:dyDescent="0.2">
      <c r="A21" s="8" t="s">
        <v>275</v>
      </c>
      <c r="B21" s="8">
        <f>$D7*$C9/$D$9</f>
        <v>27.5</v>
      </c>
      <c r="C21" s="8">
        <f>$D8*$C9/$D$9</f>
        <v>38.5</v>
      </c>
    </row>
    <row r="22" spans="1:5" x14ac:dyDescent="0.2">
      <c r="A22" s="17"/>
      <c r="B22" s="18"/>
      <c r="C22" s="6"/>
    </row>
    <row r="23" spans="1:5" x14ac:dyDescent="0.2">
      <c r="A23" s="11"/>
    </row>
    <row r="24" spans="1:5" ht="34" x14ac:dyDescent="0.2">
      <c r="A24" s="9" t="s">
        <v>269</v>
      </c>
      <c r="B24" s="12">
        <f>(B7-B20)^2/B20 +
 (C7-B21)^2/B21 +
 (B8-C20)^2/C20 +
 (C8-C21)^2/C21</f>
        <v>4.8623376623376622</v>
      </c>
    </row>
    <row r="25" spans="1:5" ht="34" x14ac:dyDescent="0.2">
      <c r="A25" s="9" t="s">
        <v>270</v>
      </c>
      <c r="B25" s="8" t="s">
        <v>271</v>
      </c>
    </row>
    <row r="26" spans="1:5" ht="17" x14ac:dyDescent="0.2">
      <c r="A26" s="9" t="s">
        <v>272</v>
      </c>
      <c r="B26" s="12">
        <f>_xlfn.CHISQ.DIST.RT(B24, B25)</f>
        <v>2.7449119902510494E-2</v>
      </c>
    </row>
    <row r="27" spans="1:5" ht="17" x14ac:dyDescent="0.2">
      <c r="A27" s="9" t="s">
        <v>273</v>
      </c>
      <c r="B27" s="8" t="str">
        <f>IF(B26&lt;0.05,"Yes","No")</f>
        <v>Yes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Task2</vt:lpstr>
      <vt:lpstr>Task 3</vt:lpstr>
      <vt:lpstr>Task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Zapototskaia, Angelina</dc:creator>
  <cp:lastModifiedBy>Zapototskaia, Angelina</cp:lastModifiedBy>
  <dcterms:created xsi:type="dcterms:W3CDTF">2025-12-01T01:54:36Z</dcterms:created>
  <dcterms:modified xsi:type="dcterms:W3CDTF">2025-12-01T09:53:52Z</dcterms:modified>
</cp:coreProperties>
</file>